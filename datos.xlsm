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5" codeName="{00000000-0000-0000-0000-0000000000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brielferreras\Desktop\postgrado\reunion 22-05-2026\"/>
    </mc:Choice>
  </mc:AlternateContent>
  <xr:revisionPtr revIDLastSave="73" documentId="13_ncr:1_{00CE2CB7-29F3-4CB2-9A79-6DA54C950E82}" xr6:coauthVersionLast="47" xr6:coauthVersionMax="47" xr10:uidLastSave="{4F9DF0F4-E237-4623-89FB-164BEB4A2063}"/>
  <bookViews>
    <workbookView xWindow="-24120" yWindow="-120" windowWidth="24240" windowHeight="13020" xr2:uid="{00000000-000D-0000-FFFF-FFFF00000000}"/>
  </bookViews>
  <sheets>
    <sheet name="CONTACTOS" sheetId="1" r:id="rId1"/>
    <sheet name="SEGUIMIENTOS" sheetId="3" r:id="rId2"/>
    <sheet name="DASHBOARD" sheetId="2" r:id="rId3"/>
    <sheet name="PROGRAMAS" sheetId="4" r:id="rId4"/>
    <sheet name="COORDINADORES" sheetId="5" r:id="rId5"/>
    <sheet name="DATOS" sheetId="8" state="hidden" r:id="rId6"/>
  </sheets>
  <definedNames>
    <definedName name="_xleta.COUNTIF" hidden="1" xlm="1">#NAME?</definedName>
    <definedName name="_xleta.SLOPE" hidden="1" xlm="1">#NAME?</definedName>
  </definedNames>
  <calcPr calcId="191028"/>
  <pivotCaches>
    <pivotCache cacheId="38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" l="1"/>
  <c r="D20" i="2"/>
  <c r="B20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H12" i="1"/>
  <c r="H13" i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H21" i="1"/>
  <c r="H20" i="1"/>
  <c r="H19" i="1"/>
  <c r="H18" i="1"/>
  <c r="H17" i="1"/>
  <c r="H16" i="1"/>
  <c r="H15" i="1"/>
  <c r="H14" i="1"/>
  <c r="C5" i="4"/>
  <c r="A6" i="2"/>
  <c r="H11" i="1"/>
  <c r="D6" i="3"/>
  <c r="A6" i="3"/>
  <c r="D10" i="2"/>
  <c r="D11" i="2"/>
  <c r="D12" i="2"/>
  <c r="D13" i="2"/>
  <c r="D14" i="2"/>
  <c r="D15" i="2"/>
  <c r="D16" i="2"/>
  <c r="D17" i="2"/>
  <c r="D18" i="2"/>
  <c r="D19" i="2"/>
  <c r="D21" i="2"/>
  <c r="B10" i="2"/>
  <c r="B11" i="2"/>
  <c r="B12" i="2"/>
  <c r="B13" i="2"/>
  <c r="B14" i="2"/>
  <c r="B15" i="2"/>
  <c r="B16" i="2"/>
  <c r="B17" i="2"/>
  <c r="B18" i="2"/>
  <c r="B19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9" i="2"/>
  <c r="C9" i="2" s="1"/>
  <c r="G6" i="2"/>
  <c r="H6" i="2"/>
  <c r="F6" i="2"/>
  <c r="E6" i="2"/>
  <c r="D6" i="2"/>
  <c r="C6" i="2"/>
  <c r="B6" i="2"/>
  <c r="H5" i="1"/>
  <c r="I6" i="3"/>
  <c r="G6" i="3"/>
  <c r="F6" i="3"/>
  <c r="E6" i="3"/>
  <c r="C6" i="3"/>
  <c r="B6" i="3"/>
  <c r="C47" i="2" l="1"/>
  <c r="C20" i="2"/>
  <c r="D11" i="5"/>
  <c r="D23" i="5"/>
  <c r="D27" i="5"/>
  <c r="D6" i="5"/>
  <c r="D35" i="5"/>
  <c r="D19" i="5"/>
  <c r="D31" i="5"/>
  <c r="D15" i="5"/>
  <c r="D38" i="5"/>
  <c r="D34" i="5"/>
  <c r="D30" i="5"/>
  <c r="D26" i="5"/>
  <c r="D22" i="5"/>
  <c r="D18" i="5"/>
  <c r="D14" i="5"/>
  <c r="D10" i="5"/>
  <c r="D37" i="5"/>
  <c r="D33" i="5"/>
  <c r="D29" i="5"/>
  <c r="D25" i="5"/>
  <c r="D21" i="5"/>
  <c r="D17" i="5"/>
  <c r="D13" i="5"/>
  <c r="D9" i="5"/>
  <c r="D36" i="5"/>
  <c r="D32" i="5"/>
  <c r="D28" i="5"/>
  <c r="D24" i="5"/>
  <c r="D20" i="5"/>
  <c r="D16" i="5"/>
  <c r="D12" i="5"/>
  <c r="D8" i="5"/>
  <c r="D7" i="5"/>
  <c r="D5" i="5"/>
  <c r="C41" i="2"/>
  <c r="C33" i="2"/>
  <c r="C25" i="2"/>
  <c r="C16" i="2"/>
  <c r="C44" i="2"/>
  <c r="C32" i="2"/>
  <c r="C24" i="2"/>
  <c r="C15" i="2"/>
  <c r="C10" i="2"/>
  <c r="C45" i="2"/>
  <c r="C37" i="2"/>
  <c r="C29" i="2"/>
  <c r="C21" i="2"/>
  <c r="C12" i="2"/>
  <c r="C48" i="2"/>
  <c r="C40" i="2"/>
  <c r="C36" i="2"/>
  <c r="C28" i="2"/>
  <c r="C19" i="2"/>
  <c r="C46" i="2"/>
  <c r="C42" i="2"/>
  <c r="C38" i="2"/>
  <c r="C34" i="2"/>
  <c r="C30" i="2"/>
  <c r="C26" i="2"/>
  <c r="C22" i="2"/>
  <c r="C17" i="2"/>
  <c r="C14" i="2"/>
  <c r="C39" i="2"/>
  <c r="C27" i="2"/>
  <c r="C18" i="2"/>
  <c r="C13" i="2"/>
  <c r="C43" i="2"/>
  <c r="C35" i="2"/>
  <c r="C31" i="2"/>
  <c r="C23" i="2"/>
  <c r="C11" i="2"/>
  <c r="B50" i="2"/>
  <c r="C50" i="2" l="1"/>
  <c r="E24" i="5"/>
  <c r="E12" i="5"/>
  <c r="E34" i="5"/>
  <c r="E15" i="5"/>
  <c r="E13" i="5"/>
  <c r="E37" i="5"/>
  <c r="E23" i="5"/>
  <c r="E29" i="5"/>
  <c r="E14" i="5"/>
  <c r="E30" i="5"/>
  <c r="E21" i="5"/>
  <c r="E20" i="5"/>
  <c r="E18" i="5"/>
  <c r="E31" i="5"/>
  <c r="E9" i="5"/>
  <c r="E25" i="5"/>
  <c r="E10" i="5"/>
  <c r="E26" i="5"/>
  <c r="E6" i="5"/>
  <c r="E22" i="5"/>
  <c r="E5" i="5"/>
  <c r="E32" i="5"/>
  <c r="E35" i="5"/>
  <c r="E36" i="5"/>
  <c r="E8" i="5"/>
  <c r="E11" i="5"/>
  <c r="E38" i="5"/>
  <c r="E28" i="5"/>
  <c r="E19" i="5"/>
  <c r="E17" i="5"/>
  <c r="E33" i="5"/>
  <c r="E7" i="5"/>
  <c r="E16" i="5"/>
  <c r="E27" i="5"/>
</calcChain>
</file>

<file path=xl/sharedStrings.xml><?xml version="1.0" encoding="utf-8"?>
<sst xmlns="http://schemas.openxmlformats.org/spreadsheetml/2006/main" count="298" uniqueCount="180">
  <si>
    <t>Formulario de Captación de Postgrado</t>
  </si>
  <si>
    <t xml:space="preserve">📅  Fecha: </t>
  </si>
  <si>
    <t>ID</t>
  </si>
  <si>
    <t>Fecha Contacto</t>
  </si>
  <si>
    <t>Nombre Completo</t>
  </si>
  <si>
    <t>Teléfono</t>
  </si>
  <si>
    <t>Correo Electrónico</t>
  </si>
  <si>
    <t>Programa de Interés</t>
  </si>
  <si>
    <t>Status</t>
  </si>
  <si>
    <t xml:space="preserve">Coordinador </t>
  </si>
  <si>
    <t>1era Observacion</t>
  </si>
  <si>
    <t>1 er contacto Reailzado y Concluciones</t>
  </si>
  <si>
    <t>Próx. Seguimiento</t>
  </si>
  <si>
    <t>2 do contacto Reailzado y Concluciones</t>
  </si>
  <si>
    <t>CAMPUS</t>
  </si>
  <si>
    <t>Raul Elias Marte Pascual</t>
  </si>
  <si>
    <t>723-2305</t>
  </si>
  <si>
    <t>raulmarte04@outlook.com</t>
  </si>
  <si>
    <t>MAESTRÍA EN GESTIÓN DE EMPRESAS CONCENTRACIÓN: FINANZAS</t>
  </si>
  <si>
    <t>Interesado</t>
  </si>
  <si>
    <t>CSTA</t>
  </si>
  <si>
    <t>MICHAEL  FERREYRA BERROA</t>
  </si>
  <si>
    <t>809/935-4018</t>
  </si>
  <si>
    <t>fberroa25@gmail.com</t>
  </si>
  <si>
    <t>MAESTRÍA EN DISEÑO Y PLANIFICACIÓN URBANA</t>
  </si>
  <si>
    <t>RAQUEL AMERICA SANTANA CAMPOS</t>
  </si>
  <si>
    <t>809/758-5531</t>
  </si>
  <si>
    <t>rsantanaconsulting@gmail.com</t>
  </si>
  <si>
    <t>MAESTRÍA EN PROCEDIMIENTO CIVIL</t>
  </si>
  <si>
    <t>HANSER GABRIEL JUSTO MELO</t>
  </si>
  <si>
    <t>829/840-2806</t>
  </si>
  <si>
    <t>HANSERGABRIELJUSTOMELO28@GMAIL.COM</t>
  </si>
  <si>
    <t>MAESTRÍA EJECUTIVA EN DIRECCIÓN DE PROYECTOS</t>
  </si>
  <si>
    <t>SALLY NORELLYS THEN PÉREZ</t>
  </si>
  <si>
    <t>849/449-7274</t>
  </si>
  <si>
    <t>sallynorellys@gmail.com</t>
  </si>
  <si>
    <t>MAESTRÍA EN CONTRATACIONES PÚBLICAS ESTRATÉGICAS</t>
  </si>
  <si>
    <t>Jose Francisco Polanco Polanco</t>
  </si>
  <si>
    <t>322-8520</t>
  </si>
  <si>
    <t>j.francisco.polanco@gmail.com</t>
  </si>
  <si>
    <t>MAESTRÍA EN CIBERSEGURIDAD</t>
  </si>
  <si>
    <t>Indhira Jazmin Guerrero Gross</t>
  </si>
  <si>
    <t>480-9378</t>
  </si>
  <si>
    <t>indhiragross@gmail.com</t>
  </si>
  <si>
    <t>GABRIELA  VERAS REYES</t>
  </si>
  <si>
    <t>829/556-3890</t>
  </si>
  <si>
    <t>verasreyesg@gmail.com</t>
  </si>
  <si>
    <t>MAESTRÍA EN GESTIÓN DE CADENAS DE SUMINISTROS</t>
  </si>
  <si>
    <t>CSTI</t>
  </si>
  <si>
    <t>ISABELLE  LARAQUE DE CASTRO</t>
  </si>
  <si>
    <t>849/260-7520</t>
  </si>
  <si>
    <t>LARAQUEISABELLE@GMAIL.COM</t>
  </si>
  <si>
    <t>MAESTRÍA EN GESTIÓN DE EMPRESAS CONCENTRACIÓN: HABILIDADES DIRECTIVAS</t>
  </si>
  <si>
    <t>ANYI YOELIZA FRIAS BELEN</t>
  </si>
  <si>
    <t>809/817-0907</t>
  </si>
  <si>
    <t>yoeliza1501@gmail.com</t>
  </si>
  <si>
    <t>MAESTRÍA EN PATOLOGÍAS DEL LENGUAJE Y DEL HABLA</t>
  </si>
  <si>
    <t>EILEEN  DUARTE REVELO</t>
  </si>
  <si>
    <t>829/668-9358</t>
  </si>
  <si>
    <t>EILEEN.DUARTE@HOTMAIL.COM</t>
  </si>
  <si>
    <t>MAESTRÍA EN ODONTOPEDIATRÍA</t>
  </si>
  <si>
    <t>🔄  SEGUIMIENTOS</t>
  </si>
  <si>
    <t>Programa</t>
  </si>
  <si>
    <t>Asesor Asignado</t>
  </si>
  <si>
    <t>Observaciones</t>
  </si>
  <si>
    <t xml:space="preserve"> Observacion 2do Contacto</t>
  </si>
  <si>
    <t xml:space="preserve">📈  DASHBOARD </t>
  </si>
  <si>
    <t>TOTAL CONTACTOS</t>
  </si>
  <si>
    <t>PENDIENTES</t>
  </si>
  <si>
    <t>EN SEGUIMIENTO</t>
  </si>
  <si>
    <t>INTERESADOS</t>
  </si>
  <si>
    <t>ADMITIDO</t>
  </si>
  <si>
    <t>ESPERA DE PATROCINIO O BECA</t>
  </si>
  <si>
    <t>NO INTERESADOS</t>
  </si>
  <si>
    <t>PENDIENTE DE CONTACTO</t>
  </si>
  <si>
    <t>PROGRAMA</t>
  </si>
  <si>
    <t>CONTACTOS</t>
  </si>
  <si>
    <t>%</t>
  </si>
  <si>
    <t>COORDINADOR</t>
  </si>
  <si>
    <t>MAESTRÍA EN METODOLOGÍA Y CIENCIAS APLICADAS AL ENTRENAMIENTO DEPORTIVO</t>
  </si>
  <si>
    <t>MAESTRÍA EN DISEÑO DE PRODUCCIÓN PARA CINEMATOGRAFÍA</t>
  </si>
  <si>
    <t>MAESTRÍA EN NARRATIVA AUDIOVISUAL Y TRANSMEDIA</t>
  </si>
  <si>
    <t>MAESTRÍA EN NEUROPSICOLOGÍA CLÍNICA</t>
  </si>
  <si>
    <t>DOCTORADO EN ESTUDIOS DEL ESPAÑOL</t>
  </si>
  <si>
    <t>MAESTRÍA EN NEUROEDUCACIÓN COGNITIVA</t>
  </si>
  <si>
    <t>MAESTRÍA MOVILIDAD URBANA Y REGIONAL</t>
  </si>
  <si>
    <t>MAESTRÍA EN GESTIÓN DE RIESGO Y TESORERÍA</t>
  </si>
  <si>
    <t>MAESTRÍA EN GESTIÓN BANCARIA Y FINANCIERA</t>
  </si>
  <si>
    <t>MAESTRÍA EN MERCADOS FINANCIEROS</t>
  </si>
  <si>
    <t>MAESTRÍA EN DISEÑO ARQUITECTÓNICO CONCENTRACIÓN ARQUITECTURA DE INTERIORES/ALOJAMIENTOS TURÍSTICOS</t>
  </si>
  <si>
    <t>MAESTRÍA EN PERIODONCIA E IMPLANTOLOGÍA ORAL</t>
  </si>
  <si>
    <t>MAESTRÍA EN PROSTODONCIA E IMPLANTOLOGÍA ORAL</t>
  </si>
  <si>
    <t>MAESTRÍA EN REHABILITACIÓN BUCAL</t>
  </si>
  <si>
    <t>ESPECIALIDAD EN TRASTORNOS TEMPOROMANDIBULAR Y DOLOR OROFACIAL</t>
  </si>
  <si>
    <t>MAESTRÍA EN GESTIÓN DE SISTEMAS FERROVIARIOS</t>
  </si>
  <si>
    <t>MAESTRÍA EN DIRECCIÓN DE COMUNICACIÓN CORPORATIVA</t>
  </si>
  <si>
    <t>MAESTRÍA EN SEGURIDAD SOCIAL (CONCENTRACIÓN PREVENCIÓN SOCIAL / SALUD OCUPACIONAL)</t>
  </si>
  <si>
    <t>MAESTRÍA EN CIENCIAS PENALES</t>
  </si>
  <si>
    <t>MAESTRÍA EN DERECHO DE LOS NEGOCIOS CORPORATIVOS</t>
  </si>
  <si>
    <t>MAESTRÍA EN DERECHO CONSTITUCIONAL Y PROCESAL CONSTITUCIONAL</t>
  </si>
  <si>
    <t>MAESTRÍA EN DERECHO TRIBUTARIO</t>
  </si>
  <si>
    <t>MAESTRÍA EN DERECHO DEL TRABAJO Y DE LA SEGURIDAD SOCIAL</t>
  </si>
  <si>
    <t>MAESTRÍA EN GESTIÓN DE EMPRESAS CONCENTRACIÓN FINANZAS</t>
  </si>
  <si>
    <t>MAESTRÍA GESTIÓN DE EMPRESAS CONCENTRACIÓN ESTRATEGIA</t>
  </si>
  <si>
    <t>MAESTRÍA EN ADMINISTRACIÓN DE LA CONSTRUCCIÓN</t>
  </si>
  <si>
    <t>MAESTRÍA EN GERENCIA EN SERVICIOS DE ALIMENTACIÓN</t>
  </si>
  <si>
    <t>DOCTORADO EN HISTORIA DEL CARIBE</t>
  </si>
  <si>
    <t>MAESTRÍA EN DERECHO DE LOS MERCADOS FINANCIEROS</t>
  </si>
  <si>
    <t>MAESTRÍA EN RELACIONES INTERNACIONALES</t>
  </si>
  <si>
    <t>TOTAL</t>
  </si>
  <si>
    <t>🎓  PROGRAMAS</t>
  </si>
  <si>
    <t>Coordinadores</t>
  </si>
  <si>
    <t>Contactos</t>
  </si>
  <si>
    <t>Alexis Borges</t>
  </si>
  <si>
    <t>Domingo Abreu</t>
  </si>
  <si>
    <t>Inés de los Santos</t>
  </si>
  <si>
    <t>Ana Estévez</t>
  </si>
  <si>
    <t>Arlene Estévez</t>
  </si>
  <si>
    <t>Florilena De Jesús Paredes</t>
  </si>
  <si>
    <t>Michel Valdéz</t>
  </si>
  <si>
    <t>Glorianny Báez</t>
  </si>
  <si>
    <t>Isabel Sánchez</t>
  </si>
  <si>
    <t>Jaime Sued</t>
  </si>
  <si>
    <t>Aimee Cuesta</t>
  </si>
  <si>
    <t xml:space="preserve">Kenia Rodríguez / Luvian Corniel CSTI                                                                           </t>
  </si>
  <si>
    <t>Nelson Orsini / Luvian Corniel</t>
  </si>
  <si>
    <t>Zaida Jimenez /Luvian Corniel</t>
  </si>
  <si>
    <t>Elba Estrella / Luvian Corniel</t>
  </si>
  <si>
    <t>Jesús Ramírez</t>
  </si>
  <si>
    <t>Luis Germosén / Edwin Hernández CSTI / Julián Mena CSD</t>
  </si>
  <si>
    <t>Magdalena Durán</t>
  </si>
  <si>
    <t>Marcela Mirabal</t>
  </si>
  <si>
    <t>Maribel Justo</t>
  </si>
  <si>
    <t>Pascal Peña</t>
  </si>
  <si>
    <t>Miguelina Ureña</t>
  </si>
  <si>
    <t>Miguelina Ureña - CSTI / Pascal Peña - CSD</t>
  </si>
  <si>
    <t>Miguelina Ureña - CSTI/ Pascal Peña - CSD</t>
  </si>
  <si>
    <t>Natalia Concepción -CSTI / Isabel Sánchez -CSD</t>
  </si>
  <si>
    <t>Sor Salcedo</t>
  </si>
  <si>
    <t>Ver con Pedro Reyes</t>
  </si>
  <si>
    <t>Yahaira Josefina Sánchez</t>
  </si>
  <si>
    <t>Mukien Sang</t>
  </si>
  <si>
    <t>Stephanie Pou</t>
  </si>
  <si>
    <t>👤 Resumen por Coorinadores</t>
  </si>
  <si>
    <t>#</t>
  </si>
  <si>
    <t>Asesor</t>
  </si>
  <si>
    <t>interesados</t>
  </si>
  <si>
    <t>% Cierre</t>
  </si>
  <si>
    <t>María López</t>
  </si>
  <si>
    <t>Carlos Ramírez</t>
  </si>
  <si>
    <t xml:space="preserve">Kenia Rodríguez </t>
  </si>
  <si>
    <t xml:space="preserve">Nelson Orsini </t>
  </si>
  <si>
    <t xml:space="preserve">Zaida Jimenez </t>
  </si>
  <si>
    <t xml:space="preserve">Elba Estrella </t>
  </si>
  <si>
    <t xml:space="preserve">Luis Germosén </t>
  </si>
  <si>
    <t>Natalia Concepción</t>
  </si>
  <si>
    <t xml:space="preserve">Natalia Concepción </t>
  </si>
  <si>
    <t>Luvian Corniel</t>
  </si>
  <si>
    <t xml:space="preserve"> Edwin Hernández</t>
  </si>
  <si>
    <t xml:space="preserve"> Pascal Peña</t>
  </si>
  <si>
    <t>🏠 INICIO  |  CONTACTOS  |  SEGUIMIENTOS  |  PROGRAMAS  |  ASESORES  |  FUENTES  |  DASHBOARD</t>
  </si>
  <si>
    <t>status</t>
  </si>
  <si>
    <t>botones</t>
  </si>
  <si>
    <t>Columna1</t>
  </si>
  <si>
    <t xml:space="preserve">Pendiente de admision / postergado </t>
  </si>
  <si>
    <t>Pendiente Admisión</t>
  </si>
  <si>
    <t>Interesados</t>
  </si>
  <si>
    <t>Duda / Realizar Seguimiento</t>
  </si>
  <si>
    <t>Duda</t>
  </si>
  <si>
    <t>Admitido</t>
  </si>
  <si>
    <t>Admitidos</t>
  </si>
  <si>
    <t>No interesado</t>
  </si>
  <si>
    <t>Contactar para Seguimiento</t>
  </si>
  <si>
    <t>Dar seguimiento</t>
  </si>
  <si>
    <t>En espera de patrocinio</t>
  </si>
  <si>
    <t>En Espera</t>
  </si>
  <si>
    <t>Etiquetas de fila</t>
  </si>
  <si>
    <t>Proporcón de Estatus</t>
  </si>
  <si>
    <t>(en blanco)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</si>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</sst>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sz val="10"/>
      <color rgb="FF0D1B3E"/>
      <name val="Arial"/>
      <family val="2"/>
    </font>
    <font>
      <b/>
      <sz val="10"/>
      <color rgb="FFFFFFFF"/>
      <name val="Arial"/>
      <family val="2"/>
    </font>
    <font>
      <sz val="10"/>
      <color rgb="FF1F2937"/>
      <name val="Arial"/>
      <family val="2"/>
    </font>
    <font>
      <sz val="9"/>
      <color rgb="FFC9A84C"/>
      <name val="Arial"/>
      <family val="2"/>
    </font>
    <font>
      <b/>
      <sz val="16"/>
      <color rgb="FFC9A84C"/>
      <name val="Arial"/>
      <family val="2"/>
    </font>
    <font>
      <b/>
      <sz val="11"/>
      <color rgb="FF0D1B3E"/>
      <name val="Arial"/>
      <family val="2"/>
    </font>
    <font>
      <b/>
      <sz val="10"/>
      <color rgb="FF1F2937"/>
      <name val="Arial"/>
      <family val="2"/>
    </font>
    <font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sz val="8"/>
      <name val="Calibri"/>
      <family val="2"/>
      <scheme val="minor"/>
    </font>
    <font>
      <b/>
      <sz val="9"/>
      <color theme="1"/>
      <name val="Arial"/>
      <family val="2"/>
    </font>
    <font>
      <b/>
      <sz val="28"/>
      <color rgb="FFC9A84C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24"/>
      <color rgb="FFC9A84C"/>
      <name val="Arial"/>
      <family val="2"/>
    </font>
    <font>
      <sz val="11"/>
      <color rgb="FF000000"/>
      <name val="Calibri"/>
      <family val="2"/>
    </font>
    <font>
      <sz val="11"/>
      <color rgb="FF000000"/>
      <name val="Aptos Narrow"/>
    </font>
    <font>
      <b/>
      <sz val="9"/>
      <color theme="1"/>
      <name val="Arial"/>
    </font>
    <font>
      <sz val="10"/>
      <color rgb="FF1F2937"/>
      <name val="Arial"/>
    </font>
    <font>
      <sz val="10"/>
      <color rgb="FF0D1B3E"/>
      <name val="Arial"/>
    </font>
    <font>
      <sz val="11"/>
      <color rgb="FF000000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0D1B3E"/>
      </patternFill>
    </fill>
    <fill>
      <patternFill patternType="solid">
        <fgColor rgb="FFF5F6FA"/>
      </patternFill>
    </fill>
    <fill>
      <patternFill patternType="solid">
        <fgColor rgb="FFF59E0B"/>
      </patternFill>
    </fill>
    <fill>
      <patternFill patternType="solid">
        <fgColor rgb="FF3B82F6"/>
      </patternFill>
    </fill>
    <fill>
      <patternFill patternType="solid">
        <fgColor rgb="FFC9A84C"/>
      </patternFill>
    </fill>
    <fill>
      <patternFill patternType="solid">
        <fgColor rgb="FF22C55E"/>
      </patternFill>
    </fill>
    <fill>
      <patternFill patternType="solid">
        <fgColor rgb="FFFFFFFF"/>
      </patternFill>
    </fill>
    <fill>
      <patternFill patternType="solid">
        <fgColor theme="6"/>
        <bgColor indexed="64"/>
      </patternFill>
    </fill>
    <fill>
      <patternFill patternType="solid">
        <fgColor rgb="FF0D1B3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/>
      <right style="thin">
        <color rgb="FFD1D5DB"/>
      </right>
      <top/>
      <bottom/>
      <diagonal/>
    </border>
    <border>
      <left style="thin">
        <color rgb="FFD1D5DB"/>
      </left>
      <right/>
      <top style="thin">
        <color rgb="FFD1D5DB"/>
      </top>
      <bottom style="thin">
        <color rgb="FFD1D5DB"/>
      </bottom>
      <diagonal/>
    </border>
    <border>
      <left/>
      <right style="thin">
        <color rgb="FFD1D5DB"/>
      </right>
      <top/>
      <bottom style="thin">
        <color rgb="FFD1D5DB"/>
      </bottom>
      <diagonal/>
    </border>
    <border>
      <left style="thin">
        <color rgb="FFD1D5DB"/>
      </left>
      <right style="thin">
        <color rgb="FFD1D5DB"/>
      </right>
      <top/>
      <bottom style="thin">
        <color rgb="FFD1D5DB"/>
      </bottom>
      <diagonal/>
    </border>
    <border>
      <left style="thin">
        <color rgb="FFD1D5DB"/>
      </left>
      <right/>
      <top/>
      <bottom style="thin">
        <color rgb="FFD1D5DB"/>
      </bottom>
      <diagonal/>
    </border>
    <border>
      <left style="thin">
        <color rgb="FFD1D5DB"/>
      </left>
      <right/>
      <top style="thin">
        <color rgb="FFD1D5DB"/>
      </top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theme="0"/>
      </bottom>
      <diagonal/>
    </border>
    <border>
      <left/>
      <right/>
      <top style="thin">
        <color rgb="FFD1D5DB"/>
      </top>
      <bottom/>
      <diagonal/>
    </border>
    <border>
      <left style="thin">
        <color rgb="FFD1D5DB"/>
      </left>
      <right/>
      <top/>
      <bottom/>
      <diagonal/>
    </border>
    <border>
      <left/>
      <right/>
      <top/>
      <bottom style="thin">
        <color rgb="FFD1D5DB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rgb="FFD1D5DB"/>
      </top>
      <bottom/>
      <diagonal/>
    </border>
    <border>
      <left style="thin">
        <color rgb="FFD1D5DB"/>
      </left>
      <right/>
      <top style="thin">
        <color theme="0"/>
      </top>
      <bottom/>
      <diagonal/>
    </border>
    <border>
      <left/>
      <right/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9" fontId="5" fillId="3" borderId="1" xfId="0" applyNumberFormat="1" applyFont="1" applyFill="1" applyBorder="1" applyAlignment="1">
      <alignment horizontal="center" vertical="center" wrapText="1"/>
    </xf>
    <xf numFmtId="9" fontId="7" fillId="8" borderId="1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4" fillId="6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7" fillId="8" borderId="2" xfId="0" applyFont="1" applyFill="1" applyBorder="1" applyAlignment="1">
      <alignment horizontal="left" vertical="center" wrapText="1"/>
    </xf>
    <xf numFmtId="0" fontId="0" fillId="9" borderId="0" xfId="0" applyFill="1"/>
    <xf numFmtId="0" fontId="13" fillId="0" borderId="0" xfId="0" applyFont="1"/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6" fillId="10" borderId="0" xfId="0" applyFont="1" applyFill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9" fontId="5" fillId="3" borderId="0" xfId="0" applyNumberFormat="1" applyFont="1" applyFill="1" applyAlignment="1">
      <alignment vertical="center" wrapText="1"/>
    </xf>
    <xf numFmtId="0" fontId="10" fillId="3" borderId="0" xfId="0" applyFont="1" applyFill="1" applyAlignment="1">
      <alignment horizontal="center" vertical="center" wrapText="1"/>
    </xf>
    <xf numFmtId="9" fontId="5" fillId="3" borderId="0" xfId="0" applyNumberFormat="1" applyFont="1" applyFill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9" fontId="12" fillId="2" borderId="1" xfId="0" applyNumberFormat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center" vertical="center" wrapText="1"/>
    </xf>
    <xf numFmtId="0" fontId="0" fillId="12" borderId="0" xfId="0" applyFill="1"/>
    <xf numFmtId="14" fontId="2" fillId="12" borderId="0" xfId="0" applyNumberFormat="1" applyFont="1" applyFill="1" applyAlignment="1">
      <alignment horizontal="left" vertical="center" wrapText="1"/>
    </xf>
    <xf numFmtId="0" fontId="1" fillId="12" borderId="0" xfId="0" applyFont="1" applyFill="1" applyAlignment="1">
      <alignment vertical="center" wrapText="1"/>
    </xf>
    <xf numFmtId="0" fontId="3" fillId="11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vertical="center" wrapText="1"/>
    </xf>
    <xf numFmtId="0" fontId="3" fillId="13" borderId="0" xfId="0" applyFont="1" applyFill="1" applyAlignment="1">
      <alignment horizontal="center" vertical="center" wrapText="1"/>
    </xf>
    <xf numFmtId="0" fontId="4" fillId="13" borderId="0" xfId="0" applyFont="1" applyFill="1" applyAlignment="1">
      <alignment vertical="center" wrapText="1"/>
    </xf>
    <xf numFmtId="0" fontId="3" fillId="14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vertical="center" wrapText="1"/>
    </xf>
    <xf numFmtId="0" fontId="2" fillId="12" borderId="0" xfId="0" applyFont="1" applyFill="1" applyAlignment="1">
      <alignment horizontal="right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7" fillId="0" borderId="7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left" vertical="center" wrapText="1"/>
    </xf>
    <xf numFmtId="9" fontId="7" fillId="0" borderId="7" xfId="0" applyNumberFormat="1" applyFont="1" applyBorder="1" applyAlignment="1">
      <alignment horizontal="center" vertical="center" wrapText="1"/>
    </xf>
    <xf numFmtId="0" fontId="17" fillId="0" borderId="7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left" vertical="center" wrapText="1"/>
    </xf>
    <xf numFmtId="0" fontId="0" fillId="0" borderId="7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11" fillId="0" borderId="15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7" fillId="8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10" borderId="5" xfId="0" applyFont="1" applyFill="1" applyBorder="1" applyAlignment="1">
      <alignment horizontal="center" vertical="center" wrapText="1"/>
    </xf>
    <xf numFmtId="0" fontId="21" fillId="0" borderId="0" xfId="0" applyFont="1"/>
    <xf numFmtId="0" fontId="22" fillId="0" borderId="0" xfId="0" applyFont="1"/>
    <xf numFmtId="0" fontId="22" fillId="0" borderId="0" xfId="0" applyFont="1" applyAlignment="1">
      <alignment wrapText="1"/>
    </xf>
    <xf numFmtId="0" fontId="23" fillId="4" borderId="1" xfId="0" applyFont="1" applyFill="1" applyBorder="1" applyAlignment="1">
      <alignment horizontal="center" vertical="center" wrapText="1"/>
    </xf>
    <xf numFmtId="0" fontId="24" fillId="8" borderId="1" xfId="0" applyFont="1" applyFill="1" applyBorder="1" applyAlignment="1">
      <alignment vertical="center" wrapText="1"/>
    </xf>
    <xf numFmtId="0" fontId="24" fillId="8" borderId="1" xfId="0" applyFont="1" applyFill="1" applyBorder="1" applyAlignment="1">
      <alignment horizontal="left" vertical="center" wrapText="1"/>
    </xf>
    <xf numFmtId="0" fontId="24" fillId="8" borderId="1" xfId="0" applyFont="1" applyFill="1" applyBorder="1" applyAlignment="1">
      <alignment horizontal="center" vertical="center" wrapText="1"/>
    </xf>
    <xf numFmtId="9" fontId="25" fillId="3" borderId="1" xfId="0" applyNumberFormat="1" applyFont="1" applyFill="1" applyBorder="1" applyAlignment="1">
      <alignment horizontal="left" vertical="top" wrapText="1"/>
    </xf>
    <xf numFmtId="0" fontId="26" fillId="0" borderId="0" xfId="0" applyFont="1"/>
    <xf numFmtId="14" fontId="22" fillId="0" borderId="0" xfId="0" applyNumberFormat="1" applyFont="1"/>
    <xf numFmtId="0" fontId="1" fillId="3" borderId="0" xfId="0" applyFont="1" applyFill="1" applyAlignment="1">
      <alignment horizontal="center" vertical="center" wrapText="1"/>
    </xf>
    <xf numFmtId="0" fontId="20" fillId="12" borderId="0" xfId="0" applyFont="1" applyFill="1" applyAlignment="1">
      <alignment horizontal="center" vertical="center" wrapText="1"/>
    </xf>
    <xf numFmtId="0" fontId="1" fillId="1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 vertical="center" wrapText="1"/>
    </xf>
    <xf numFmtId="0" fontId="16" fillId="2" borderId="1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0" fillId="12" borderId="0" xfId="0" applyFill="1" applyAlignment="1"/>
    <xf numFmtId="0" fontId="0" fillId="0" borderId="0" xfId="0" applyAlignment="1"/>
  </cellXfs>
  <cellStyles count="1">
    <cellStyle name="Normal" xfId="0" builtinId="0"/>
  </cellStyles>
  <dxfs count="4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ill>
        <patternFill patternType="solid">
          <fgColor indexed="64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F2937"/>
        <name val="Arial"/>
        <family val="2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D1D5DB"/>
        </left>
        <right/>
        <top style="thin">
          <color rgb="FFD1D5DB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F2937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1D5DB"/>
        </left>
        <right/>
        <top style="thin">
          <color rgb="FFD1D5DB"/>
        </top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1F2937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rgb="FFD1D5DB"/>
        </top>
        <bottom/>
      </border>
    </dxf>
    <dxf>
      <border outline="0">
        <left style="thin">
          <color rgb="FFD1D5DB"/>
        </left>
        <right style="thin">
          <color rgb="FFD1D5DB"/>
        </right>
        <top style="thin">
          <color rgb="FFD1D5DB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indexed="64"/>
          <bgColor rgb="FF0D1B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D1D5DB"/>
        </left>
        <right style="thin">
          <color rgb="FFD1D5DB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indexed="64"/>
          <bgColor rgb="FF0D1B3E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rgb="FFD1D5DB"/>
        </right>
        <top/>
        <bottom/>
        <vertical/>
        <horizontal/>
      </border>
    </dxf>
    <dxf>
      <alignment horizontal="center" vertical="center" textRotation="0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outline="0">
        <left style="thin">
          <color theme="0"/>
        </left>
      </border>
    </dxf>
    <dxf>
      <font>
        <b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indent="0" justifyLastLine="0" shrinkToFit="0" readingOrder="0"/>
      <border outline="0">
        <right style="thin">
          <color theme="0"/>
        </right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top style="thin">
          <color rgb="FFD1D5DB"/>
        </top>
      </border>
    </dxf>
    <dxf>
      <border outline="0">
        <bottom style="thin">
          <color rgb="FFD1D5DB"/>
        </bottom>
      </border>
    </dxf>
    <dxf>
      <border outline="0">
        <left style="thin">
          <color rgb="FFD1D5DB"/>
        </left>
        <right style="thin">
          <color rgb="FFD1D5DB"/>
        </right>
        <top style="thin">
          <color rgb="FFD1D5DB"/>
        </top>
        <bottom style="thin">
          <color rgb="FFD1D5DB"/>
        </bottom>
      </border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indexed="64"/>
          <bgColor rgb="FF0D1B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D1D5DB"/>
        </left>
        <right style="thin">
          <color rgb="FFD1D5DB"/>
        </right>
        <top/>
        <bottom/>
      </border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mruColors>
      <color rgb="FF0039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[Razon de contactos.xlsx.xlsm]DATOS!TablaDinámica1</c:name>
    <c:fmtId val="2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outerShdw blurRad="50800" dist="50800" dir="5400000" algn="ctr" rotWithShape="0">
              <a:schemeClr val="accent1">
                <a:lumMod val="40000"/>
                <a:lumOff val="60000"/>
              </a:schemeClr>
            </a:outerShdw>
          </a:effectLst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1.8752468055335134E-2"/>
          <c:y val="9.9483057533928471E-2"/>
          <c:w val="0.6880493268311566"/>
          <c:h val="0.9005169424660715"/>
        </c:manualLayout>
      </c:layout>
      <c:pieChart>
        <c:varyColors val="1"/>
        <c:ser>
          <c:idx val="0"/>
          <c:order val="0"/>
          <c:tx>
            <c:strRef>
              <c:f>DATOS!$B$15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43-4577-ADAD-71CCA83A03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43-4577-ADAD-71CCA83A03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43-44C2-B5BE-6A2F49F740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chemeClr val="accent1">
                    <a:lumMod val="40000"/>
                    <a:lumOff val="6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43-44C2-B5BE-6A2F49F740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43-44C2-B5BE-6A2F49F740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43-44C2-B5BE-6A2F49F740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543-44C2-B5BE-6A2F49F740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543-44C2-B5BE-6A2F49F7403E}"/>
              </c:ext>
            </c:extLst>
          </c:dPt>
          <c:cat>
            <c:strRef>
              <c:f>DATOS!$A$16:$A$24</c:f>
              <c:strCache>
                <c:ptCount val="8"/>
                <c:pt idx="0">
                  <c:v>Pendiente de admision / postergado </c:v>
                </c:pt>
                <c:pt idx="1">
                  <c:v>Duda / Realizar Seguimiento</c:v>
                </c:pt>
                <c:pt idx="2">
                  <c:v>Admitido</c:v>
                </c:pt>
                <c:pt idx="3">
                  <c:v>Interesado</c:v>
                </c:pt>
                <c:pt idx="4">
                  <c:v>(blank)</c:v>
                </c:pt>
                <c:pt idx="5">
                  <c:v>No interesado</c:v>
                </c:pt>
                <c:pt idx="6">
                  <c:v>Contactar para Seguimiento</c:v>
                </c:pt>
                <c:pt idx="7">
                  <c:v>En espera de patrocinio</c:v>
                </c:pt>
              </c:strCache>
            </c:strRef>
          </c:cat>
          <c:val>
            <c:numRef>
              <c:f>DATOS!$B$16:$B$24</c:f>
              <c:numCache>
                <c:formatCode>General</c:formatCode>
                <c:ptCount val="8"/>
                <c:pt idx="0">
                  <c:v>1</c:v>
                </c:pt>
                <c:pt idx="1">
                  <c:v>7</c:v>
                </c:pt>
                <c:pt idx="2">
                  <c:v>6</c:v>
                </c:pt>
                <c:pt idx="3">
                  <c:v>9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43-4577-ADAD-71CCA83A0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225829942943502"/>
          <c:y val="0.1002078915878154"/>
          <c:w val="0.29321594641607718"/>
          <c:h val="0.79977486096960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268204</xdr:colOff>
      <xdr:row>6</xdr:row>
      <xdr:rowOff>224150</xdr:rowOff>
    </xdr:from>
    <xdr:to>
      <xdr:col>7</xdr:col>
      <xdr:colOff>95250</xdr:colOff>
      <xdr:row>7</xdr:row>
      <xdr:rowOff>800101</xdr:rowOff>
    </xdr:to>
    <xdr:grpSp>
      <xdr:nvGrpSpPr>
        <xdr:cNvPr id="2052" name="Grupo 2051">
          <a:extLst>
            <a:ext uri="{FF2B5EF4-FFF2-40B4-BE49-F238E27FC236}">
              <a16:creationId xmlns:a16="http://schemas.microsoft.com/office/drawing/2014/main" id="{7EDE5BC8-03D8-5509-A177-9D5080C264CE}"/>
            </a:ext>
          </a:extLst>
        </xdr:cNvPr>
        <xdr:cNvGrpSpPr/>
      </xdr:nvGrpSpPr>
      <xdr:grpSpPr>
        <a:xfrm>
          <a:off x="268204" y="1891025"/>
          <a:ext cx="13924046" cy="928376"/>
          <a:chOff x="30079" y="1900549"/>
          <a:chExt cx="11761872" cy="995051"/>
        </a:xfrm>
      </xdr:grpSpPr>
      <xdr:sp macro="[0]!Rectángulo3_Haga_clic_en" textlink="DASHBOARD!D6">
        <xdr:nvSpPr>
          <xdr:cNvPr id="2" name="Rectángulo 1">
            <a:extLst>
              <a:ext uri="{FF2B5EF4-FFF2-40B4-BE49-F238E27FC236}">
                <a16:creationId xmlns:a16="http://schemas.microsoft.com/office/drawing/2014/main" id="{2739439F-313A-4D98-A66D-FDB28F35EBE5}"/>
              </a:ext>
            </a:extLst>
          </xdr:cNvPr>
          <xdr:cNvSpPr/>
        </xdr:nvSpPr>
        <xdr:spPr>
          <a:xfrm>
            <a:off x="427977" y="2468677"/>
            <a:ext cx="917906" cy="328415"/>
          </a:xfrm>
          <a:custGeom>
            <a:avLst/>
            <a:gdLst>
              <a:gd name="csX0" fmla="*/ 0 w 917906"/>
              <a:gd name="csY0" fmla="*/ 0 h 328415"/>
              <a:gd name="csX1" fmla="*/ 477311 w 917906"/>
              <a:gd name="csY1" fmla="*/ 0 h 328415"/>
              <a:gd name="csX2" fmla="*/ 917906 w 917906"/>
              <a:gd name="csY2" fmla="*/ 0 h 328415"/>
              <a:gd name="csX3" fmla="*/ 917906 w 917906"/>
              <a:gd name="csY3" fmla="*/ 328415 h 328415"/>
              <a:gd name="csX4" fmla="*/ 468132 w 917906"/>
              <a:gd name="csY4" fmla="*/ 328415 h 328415"/>
              <a:gd name="csX5" fmla="*/ 0 w 917906"/>
              <a:gd name="csY5" fmla="*/ 328415 h 328415"/>
              <a:gd name="csX6" fmla="*/ 0 w 917906"/>
              <a:gd name="csY6" fmla="*/ 0 h 32841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</a:cxnLst>
            <a:rect l="l" t="t" r="r" b="b"/>
            <a:pathLst>
              <a:path w="917906" h="328415" fill="none" extrusionOk="0">
                <a:moveTo>
                  <a:pt x="0" y="0"/>
                </a:moveTo>
                <a:cubicBezTo>
                  <a:pt x="114973" y="-19396"/>
                  <a:pt x="367333" y="-2013"/>
                  <a:pt x="477311" y="0"/>
                </a:cubicBezTo>
                <a:cubicBezTo>
                  <a:pt x="587289" y="2013"/>
                  <a:pt x="766169" y="-14660"/>
                  <a:pt x="917906" y="0"/>
                </a:cubicBezTo>
                <a:cubicBezTo>
                  <a:pt x="925124" y="68654"/>
                  <a:pt x="911409" y="180776"/>
                  <a:pt x="917906" y="328415"/>
                </a:cubicBezTo>
                <a:cubicBezTo>
                  <a:pt x="763496" y="326535"/>
                  <a:pt x="574707" y="350577"/>
                  <a:pt x="468132" y="328415"/>
                </a:cubicBezTo>
                <a:cubicBezTo>
                  <a:pt x="361557" y="306253"/>
                  <a:pt x="142113" y="331396"/>
                  <a:pt x="0" y="328415"/>
                </a:cubicBezTo>
                <a:cubicBezTo>
                  <a:pt x="7014" y="237707"/>
                  <a:pt x="11250" y="157116"/>
                  <a:pt x="0" y="0"/>
                </a:cubicBezTo>
                <a:close/>
              </a:path>
              <a:path w="917906" h="328415" stroke="0" extrusionOk="0">
                <a:moveTo>
                  <a:pt x="0" y="0"/>
                </a:moveTo>
                <a:cubicBezTo>
                  <a:pt x="111299" y="-10214"/>
                  <a:pt x="317031" y="6040"/>
                  <a:pt x="449774" y="0"/>
                </a:cubicBezTo>
                <a:cubicBezTo>
                  <a:pt x="582517" y="-6040"/>
                  <a:pt x="765668" y="18626"/>
                  <a:pt x="917906" y="0"/>
                </a:cubicBezTo>
                <a:cubicBezTo>
                  <a:pt x="931127" y="88915"/>
                  <a:pt x="917498" y="183399"/>
                  <a:pt x="917906" y="328415"/>
                </a:cubicBezTo>
                <a:cubicBezTo>
                  <a:pt x="712034" y="327849"/>
                  <a:pt x="668888" y="307299"/>
                  <a:pt x="458953" y="328415"/>
                </a:cubicBezTo>
                <a:cubicBezTo>
                  <a:pt x="249018" y="349531"/>
                  <a:pt x="173153" y="333702"/>
                  <a:pt x="0" y="328415"/>
                </a:cubicBezTo>
                <a:cubicBezTo>
                  <a:pt x="8907" y="238267"/>
                  <a:pt x="-13292" y="71697"/>
                  <a:pt x="0" y="0"/>
                </a:cubicBezTo>
                <a:close/>
              </a:path>
            </a:pathLst>
          </a:custGeom>
          <a:ln>
            <a:extLst>
              <a:ext uri="{C807C97D-BFC1-408E-A445-0C87EB9F89A2}">
                <ask:lineSketchStyleProps xmlns:ask="http://schemas.microsoft.com/office/drawing/2018/sketchyshapes" sd="1219033472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DE7B207-783B-4377-9C68-89DC1DAD0A1C}" type="TxLink">
              <a:rPr lang="en-US" sz="20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11</a:t>
            </a:fld>
            <a:endParaRPr lang="es-MX" sz="1400" b="1"/>
          </a:p>
        </xdr:txBody>
      </xdr:sp>
      <xdr:sp macro="" textlink="DATOS!C3">
        <xdr:nvSpPr>
          <xdr:cNvPr id="3" name="Rectángulo 2">
            <a:extLst>
              <a:ext uri="{FF2B5EF4-FFF2-40B4-BE49-F238E27FC236}">
                <a16:creationId xmlns:a16="http://schemas.microsoft.com/office/drawing/2014/main" id="{0F611B0A-8515-42C3-B817-45BCD81F2E1A}"/>
              </a:ext>
            </a:extLst>
          </xdr:cNvPr>
          <xdr:cNvSpPr/>
        </xdr:nvSpPr>
        <xdr:spPr>
          <a:xfrm>
            <a:off x="30079" y="1924961"/>
            <a:ext cx="1325847" cy="421657"/>
          </a:xfrm>
          <a:prstGeom prst="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9D3E29C7-A40E-481E-A19E-4CC0F5B9B009}" type="TxLink">
              <a:rPr lang="en-US" sz="16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Interesados</a:t>
            </a:fld>
            <a:endParaRPr lang="es-MX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DDF06ABD-861B-4E37-AC21-D0DF1AE8C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689" y="2444661"/>
            <a:ext cx="336816" cy="383099"/>
          </a:xfrm>
          <a:prstGeom prst="rect">
            <a:avLst/>
          </a:prstGeom>
        </xdr:spPr>
      </xdr:pic>
      <xdr:sp macro="[0]!Rectángulo3_Haga_clic_en" textlink="DASHBOARD!F6">
        <xdr:nvSpPr>
          <xdr:cNvPr id="5" name="Rectángulo 4">
            <a:extLst>
              <a:ext uri="{FF2B5EF4-FFF2-40B4-BE49-F238E27FC236}">
                <a16:creationId xmlns:a16="http://schemas.microsoft.com/office/drawing/2014/main" id="{076F3ABE-50E1-4CA9-8358-062A29C5B703}"/>
              </a:ext>
            </a:extLst>
          </xdr:cNvPr>
          <xdr:cNvSpPr/>
        </xdr:nvSpPr>
        <xdr:spPr>
          <a:xfrm>
            <a:off x="1988716" y="2475336"/>
            <a:ext cx="829658" cy="328415"/>
          </a:xfrm>
          <a:custGeom>
            <a:avLst/>
            <a:gdLst>
              <a:gd name="csX0" fmla="*/ 0 w 829658"/>
              <a:gd name="csY0" fmla="*/ 0 h 328415"/>
              <a:gd name="csX1" fmla="*/ 431422 w 829658"/>
              <a:gd name="csY1" fmla="*/ 0 h 328415"/>
              <a:gd name="csX2" fmla="*/ 829658 w 829658"/>
              <a:gd name="csY2" fmla="*/ 0 h 328415"/>
              <a:gd name="csX3" fmla="*/ 829658 w 829658"/>
              <a:gd name="csY3" fmla="*/ 328415 h 328415"/>
              <a:gd name="csX4" fmla="*/ 423126 w 829658"/>
              <a:gd name="csY4" fmla="*/ 328415 h 328415"/>
              <a:gd name="csX5" fmla="*/ 0 w 829658"/>
              <a:gd name="csY5" fmla="*/ 328415 h 328415"/>
              <a:gd name="csX6" fmla="*/ 0 w 829658"/>
              <a:gd name="csY6" fmla="*/ 0 h 32841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</a:cxnLst>
            <a:rect l="l" t="t" r="r" b="b"/>
            <a:pathLst>
              <a:path w="829658" h="328415" fill="none" extrusionOk="0">
                <a:moveTo>
                  <a:pt x="0" y="0"/>
                </a:moveTo>
                <a:cubicBezTo>
                  <a:pt x="129703" y="14039"/>
                  <a:pt x="285664" y="-1376"/>
                  <a:pt x="431422" y="0"/>
                </a:cubicBezTo>
                <a:cubicBezTo>
                  <a:pt x="577180" y="1376"/>
                  <a:pt x="696466" y="4456"/>
                  <a:pt x="829658" y="0"/>
                </a:cubicBezTo>
                <a:cubicBezTo>
                  <a:pt x="836876" y="68654"/>
                  <a:pt x="823161" y="180776"/>
                  <a:pt x="829658" y="328415"/>
                </a:cubicBezTo>
                <a:cubicBezTo>
                  <a:pt x="718191" y="339646"/>
                  <a:pt x="531869" y="335157"/>
                  <a:pt x="423126" y="328415"/>
                </a:cubicBezTo>
                <a:cubicBezTo>
                  <a:pt x="314383" y="321673"/>
                  <a:pt x="93236" y="319778"/>
                  <a:pt x="0" y="328415"/>
                </a:cubicBezTo>
                <a:cubicBezTo>
                  <a:pt x="7014" y="237707"/>
                  <a:pt x="11250" y="157116"/>
                  <a:pt x="0" y="0"/>
                </a:cubicBezTo>
                <a:close/>
              </a:path>
              <a:path w="829658" h="328415" stroke="0" extrusionOk="0">
                <a:moveTo>
                  <a:pt x="0" y="0"/>
                </a:moveTo>
                <a:cubicBezTo>
                  <a:pt x="173013" y="7404"/>
                  <a:pt x="254077" y="3260"/>
                  <a:pt x="406532" y="0"/>
                </a:cubicBezTo>
                <a:cubicBezTo>
                  <a:pt x="558987" y="-3260"/>
                  <a:pt x="719796" y="14525"/>
                  <a:pt x="829658" y="0"/>
                </a:cubicBezTo>
                <a:cubicBezTo>
                  <a:pt x="842879" y="88915"/>
                  <a:pt x="829250" y="183399"/>
                  <a:pt x="829658" y="328415"/>
                </a:cubicBezTo>
                <a:cubicBezTo>
                  <a:pt x="689111" y="322117"/>
                  <a:pt x="561612" y="329151"/>
                  <a:pt x="414829" y="328415"/>
                </a:cubicBezTo>
                <a:cubicBezTo>
                  <a:pt x="268046" y="327679"/>
                  <a:pt x="206966" y="324605"/>
                  <a:pt x="0" y="328415"/>
                </a:cubicBezTo>
                <a:cubicBezTo>
                  <a:pt x="8907" y="238267"/>
                  <a:pt x="-13292" y="71697"/>
                  <a:pt x="0" y="0"/>
                </a:cubicBezTo>
                <a:close/>
              </a:path>
            </a:pathLst>
          </a:custGeom>
          <a:ln>
            <a:extLst>
              <a:ext uri="{C807C97D-BFC1-408E-A445-0C87EB9F89A2}">
                <ask:lineSketchStyleProps xmlns:ask="http://schemas.microsoft.com/office/drawing/2018/sketchyshapes" sd="1219033472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009FBB7-56C7-47BC-BE23-F690BEF6B202}" type="TxLink">
              <a:rPr lang="en-US" sz="20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0</a:t>
            </a:fld>
            <a:endParaRPr lang="es-MX" sz="1400" b="1"/>
          </a:p>
        </xdr:txBody>
      </xdr:sp>
      <xdr:sp macro="" textlink="DATOS!C8">
        <xdr:nvSpPr>
          <xdr:cNvPr id="6" name="Rectángulo 5">
            <a:extLst>
              <a:ext uri="{FF2B5EF4-FFF2-40B4-BE49-F238E27FC236}">
                <a16:creationId xmlns:a16="http://schemas.microsoft.com/office/drawing/2014/main" id="{7788BF22-5551-441A-88D6-E3F1A2480B91}"/>
              </a:ext>
            </a:extLst>
          </xdr:cNvPr>
          <xdr:cNvSpPr/>
        </xdr:nvSpPr>
        <xdr:spPr>
          <a:xfrm>
            <a:off x="1522661" y="1920523"/>
            <a:ext cx="1325847" cy="421657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fld id="{3CA8F899-9A7D-493C-95E9-307A08119B6B}" type="TxLink">
              <a:rPr lang="en-US" sz="1600" b="1" i="0" u="none" strike="noStrike">
                <a:solidFill>
                  <a:srgbClr val="000000"/>
                </a:solidFill>
                <a:latin typeface="Times New Roman"/>
                <a:ea typeface="+mn-ea"/>
                <a:cs typeface="Times New Roman"/>
              </a:rPr>
              <a:pPr marL="0" indent="0" algn="ctr"/>
              <a:t>En Espera</a:t>
            </a:fld>
            <a:endParaRPr lang="es-MX" sz="1600" b="1" i="0" u="none" strike="noStrike">
              <a:solidFill>
                <a:srgbClr val="000000"/>
              </a:solidFill>
              <a:latin typeface="Times New Roman"/>
              <a:ea typeface="+mn-ea"/>
              <a:cs typeface="Times New Roman"/>
            </a:endParaRPr>
          </a:p>
        </xdr:txBody>
      </xdr:sp>
      <xdr:pic>
        <xdr:nvPicPr>
          <xdr:cNvPr id="8" name="Imagen 7">
            <a:extLst>
              <a:ext uri="{FF2B5EF4-FFF2-40B4-BE49-F238E27FC236}">
                <a16:creationId xmlns:a16="http://schemas.microsoft.com/office/drawing/2014/main" id="{712454D1-A7CF-4841-B78C-04DD2182895E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46768" y="2468676"/>
            <a:ext cx="295021" cy="337239"/>
          </a:xfrm>
          <a:prstGeom prst="rect">
            <a:avLst/>
          </a:prstGeom>
        </xdr:spPr>
      </xdr:pic>
      <xdr:sp macro="[0]!Rectángulo3_Haga_clic_en" textlink="DASHBOARD!B6">
        <xdr:nvSpPr>
          <xdr:cNvPr id="10" name="Rectángulo 9">
            <a:extLst>
              <a:ext uri="{FF2B5EF4-FFF2-40B4-BE49-F238E27FC236}">
                <a16:creationId xmlns:a16="http://schemas.microsoft.com/office/drawing/2014/main" id="{13C70920-B302-432A-A06B-10BE47DDB8C3}"/>
              </a:ext>
            </a:extLst>
          </xdr:cNvPr>
          <xdr:cNvSpPr/>
        </xdr:nvSpPr>
        <xdr:spPr>
          <a:xfrm>
            <a:off x="4076066" y="2481994"/>
            <a:ext cx="917906" cy="328415"/>
          </a:xfrm>
          <a:custGeom>
            <a:avLst/>
            <a:gdLst>
              <a:gd name="csX0" fmla="*/ 0 w 917906"/>
              <a:gd name="csY0" fmla="*/ 0 h 328415"/>
              <a:gd name="csX1" fmla="*/ 477311 w 917906"/>
              <a:gd name="csY1" fmla="*/ 0 h 328415"/>
              <a:gd name="csX2" fmla="*/ 917906 w 917906"/>
              <a:gd name="csY2" fmla="*/ 0 h 328415"/>
              <a:gd name="csX3" fmla="*/ 917906 w 917906"/>
              <a:gd name="csY3" fmla="*/ 328415 h 328415"/>
              <a:gd name="csX4" fmla="*/ 468132 w 917906"/>
              <a:gd name="csY4" fmla="*/ 328415 h 328415"/>
              <a:gd name="csX5" fmla="*/ 0 w 917906"/>
              <a:gd name="csY5" fmla="*/ 328415 h 328415"/>
              <a:gd name="csX6" fmla="*/ 0 w 917906"/>
              <a:gd name="csY6" fmla="*/ 0 h 32841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</a:cxnLst>
            <a:rect l="l" t="t" r="r" b="b"/>
            <a:pathLst>
              <a:path w="917906" h="328415" fill="none" extrusionOk="0">
                <a:moveTo>
                  <a:pt x="0" y="0"/>
                </a:moveTo>
                <a:cubicBezTo>
                  <a:pt x="114973" y="-19396"/>
                  <a:pt x="367333" y="-2013"/>
                  <a:pt x="477311" y="0"/>
                </a:cubicBezTo>
                <a:cubicBezTo>
                  <a:pt x="587289" y="2013"/>
                  <a:pt x="766169" y="-14660"/>
                  <a:pt x="917906" y="0"/>
                </a:cubicBezTo>
                <a:cubicBezTo>
                  <a:pt x="925124" y="68654"/>
                  <a:pt x="911409" y="180776"/>
                  <a:pt x="917906" y="328415"/>
                </a:cubicBezTo>
                <a:cubicBezTo>
                  <a:pt x="763496" y="326535"/>
                  <a:pt x="574707" y="350577"/>
                  <a:pt x="468132" y="328415"/>
                </a:cubicBezTo>
                <a:cubicBezTo>
                  <a:pt x="361557" y="306253"/>
                  <a:pt x="142113" y="331396"/>
                  <a:pt x="0" y="328415"/>
                </a:cubicBezTo>
                <a:cubicBezTo>
                  <a:pt x="7014" y="237707"/>
                  <a:pt x="11250" y="157116"/>
                  <a:pt x="0" y="0"/>
                </a:cubicBezTo>
                <a:close/>
              </a:path>
              <a:path w="917906" h="328415" stroke="0" extrusionOk="0">
                <a:moveTo>
                  <a:pt x="0" y="0"/>
                </a:moveTo>
                <a:cubicBezTo>
                  <a:pt x="111299" y="-10214"/>
                  <a:pt x="317031" y="6040"/>
                  <a:pt x="449774" y="0"/>
                </a:cubicBezTo>
                <a:cubicBezTo>
                  <a:pt x="582517" y="-6040"/>
                  <a:pt x="765668" y="18626"/>
                  <a:pt x="917906" y="0"/>
                </a:cubicBezTo>
                <a:cubicBezTo>
                  <a:pt x="931127" y="88915"/>
                  <a:pt x="917498" y="183399"/>
                  <a:pt x="917906" y="328415"/>
                </a:cubicBezTo>
                <a:cubicBezTo>
                  <a:pt x="712034" y="327849"/>
                  <a:pt x="668888" y="307299"/>
                  <a:pt x="458953" y="328415"/>
                </a:cubicBezTo>
                <a:cubicBezTo>
                  <a:pt x="249018" y="349531"/>
                  <a:pt x="173153" y="333702"/>
                  <a:pt x="0" y="328415"/>
                </a:cubicBezTo>
                <a:cubicBezTo>
                  <a:pt x="8907" y="238267"/>
                  <a:pt x="-13292" y="71697"/>
                  <a:pt x="0" y="0"/>
                </a:cubicBezTo>
                <a:close/>
              </a:path>
            </a:pathLst>
          </a:custGeom>
          <a:ln>
            <a:extLst>
              <a:ext uri="{C807C97D-BFC1-408E-A445-0C87EB9F89A2}">
                <ask:lineSketchStyleProps xmlns:ask="http://schemas.microsoft.com/office/drawing/2018/sketchyshapes" sd="1219033472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C8B7C0-4638-41E1-A03F-133B7DFE13CF}" type="TxLink">
              <a:rPr lang="en-US" sz="20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0</a:t>
            </a:fld>
            <a:endParaRPr lang="es-MX" sz="1400" b="1"/>
          </a:p>
        </xdr:txBody>
      </xdr:sp>
      <xdr:sp macro="" textlink="DATOS!C2">
        <xdr:nvSpPr>
          <xdr:cNvPr id="11" name="Rectángulo 10">
            <a:extLst>
              <a:ext uri="{FF2B5EF4-FFF2-40B4-BE49-F238E27FC236}">
                <a16:creationId xmlns:a16="http://schemas.microsoft.com/office/drawing/2014/main" id="{389A8121-F2EE-45C6-BAB3-74FA1615A7AC}"/>
              </a:ext>
            </a:extLst>
          </xdr:cNvPr>
          <xdr:cNvSpPr/>
        </xdr:nvSpPr>
        <xdr:spPr>
          <a:xfrm>
            <a:off x="3035333" y="1938276"/>
            <a:ext cx="1966673" cy="421657"/>
          </a:xfrm>
          <a:prstGeom prst="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F02D5C1C-BDBB-42A8-B75C-49FDE43DFE5C}" type="TxLink">
              <a:rPr lang="en-US" sz="16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Pendiente Admisión</a:t>
            </a:fld>
            <a:endParaRPr lang="es-MX" sz="16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1B7A3362-58CD-B1D5-4E6F-A59F03775FA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6310" t="15625" r="18658" b="36082"/>
          <a:stretch>
            <a:fillRect/>
          </a:stretch>
        </xdr:blipFill>
        <xdr:spPr>
          <a:xfrm>
            <a:off x="3656071" y="2368810"/>
            <a:ext cx="411817" cy="477137"/>
          </a:xfrm>
          <a:prstGeom prst="rect">
            <a:avLst/>
          </a:prstGeom>
        </xdr:spPr>
      </xdr:pic>
      <xdr:sp macro="[0]!Rectángulo3_Haga_clic_en" textlink="DASHBOARD!C6">
        <xdr:nvSpPr>
          <xdr:cNvPr id="14" name="Rectángulo 13">
            <a:extLst>
              <a:ext uri="{FF2B5EF4-FFF2-40B4-BE49-F238E27FC236}">
                <a16:creationId xmlns:a16="http://schemas.microsoft.com/office/drawing/2014/main" id="{68A266F3-7397-4D68-82FE-2D58ACEAA868}"/>
              </a:ext>
            </a:extLst>
          </xdr:cNvPr>
          <xdr:cNvSpPr/>
        </xdr:nvSpPr>
        <xdr:spPr>
          <a:xfrm>
            <a:off x="5550568" y="2468677"/>
            <a:ext cx="917906" cy="328415"/>
          </a:xfrm>
          <a:custGeom>
            <a:avLst/>
            <a:gdLst>
              <a:gd name="csX0" fmla="*/ 0 w 917906"/>
              <a:gd name="csY0" fmla="*/ 0 h 328415"/>
              <a:gd name="csX1" fmla="*/ 477311 w 917906"/>
              <a:gd name="csY1" fmla="*/ 0 h 328415"/>
              <a:gd name="csX2" fmla="*/ 917906 w 917906"/>
              <a:gd name="csY2" fmla="*/ 0 h 328415"/>
              <a:gd name="csX3" fmla="*/ 917906 w 917906"/>
              <a:gd name="csY3" fmla="*/ 328415 h 328415"/>
              <a:gd name="csX4" fmla="*/ 468132 w 917906"/>
              <a:gd name="csY4" fmla="*/ 328415 h 328415"/>
              <a:gd name="csX5" fmla="*/ 0 w 917906"/>
              <a:gd name="csY5" fmla="*/ 328415 h 328415"/>
              <a:gd name="csX6" fmla="*/ 0 w 917906"/>
              <a:gd name="csY6" fmla="*/ 0 h 32841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</a:cxnLst>
            <a:rect l="l" t="t" r="r" b="b"/>
            <a:pathLst>
              <a:path w="917906" h="328415" fill="none" extrusionOk="0">
                <a:moveTo>
                  <a:pt x="0" y="0"/>
                </a:moveTo>
                <a:cubicBezTo>
                  <a:pt x="114973" y="-19396"/>
                  <a:pt x="367333" y="-2013"/>
                  <a:pt x="477311" y="0"/>
                </a:cubicBezTo>
                <a:cubicBezTo>
                  <a:pt x="587289" y="2013"/>
                  <a:pt x="766169" y="-14660"/>
                  <a:pt x="917906" y="0"/>
                </a:cubicBezTo>
                <a:cubicBezTo>
                  <a:pt x="925124" y="68654"/>
                  <a:pt x="911409" y="180776"/>
                  <a:pt x="917906" y="328415"/>
                </a:cubicBezTo>
                <a:cubicBezTo>
                  <a:pt x="763496" y="326535"/>
                  <a:pt x="574707" y="350577"/>
                  <a:pt x="468132" y="328415"/>
                </a:cubicBezTo>
                <a:cubicBezTo>
                  <a:pt x="361557" y="306253"/>
                  <a:pt x="142113" y="331396"/>
                  <a:pt x="0" y="328415"/>
                </a:cubicBezTo>
                <a:cubicBezTo>
                  <a:pt x="7014" y="237707"/>
                  <a:pt x="11250" y="157116"/>
                  <a:pt x="0" y="0"/>
                </a:cubicBezTo>
                <a:close/>
              </a:path>
              <a:path w="917906" h="328415" stroke="0" extrusionOk="0">
                <a:moveTo>
                  <a:pt x="0" y="0"/>
                </a:moveTo>
                <a:cubicBezTo>
                  <a:pt x="111299" y="-10214"/>
                  <a:pt x="317031" y="6040"/>
                  <a:pt x="449774" y="0"/>
                </a:cubicBezTo>
                <a:cubicBezTo>
                  <a:pt x="582517" y="-6040"/>
                  <a:pt x="765668" y="18626"/>
                  <a:pt x="917906" y="0"/>
                </a:cubicBezTo>
                <a:cubicBezTo>
                  <a:pt x="931127" y="88915"/>
                  <a:pt x="917498" y="183399"/>
                  <a:pt x="917906" y="328415"/>
                </a:cubicBezTo>
                <a:cubicBezTo>
                  <a:pt x="712034" y="327849"/>
                  <a:pt x="668888" y="307299"/>
                  <a:pt x="458953" y="328415"/>
                </a:cubicBezTo>
                <a:cubicBezTo>
                  <a:pt x="249018" y="349531"/>
                  <a:pt x="173153" y="333702"/>
                  <a:pt x="0" y="328415"/>
                </a:cubicBezTo>
                <a:cubicBezTo>
                  <a:pt x="8907" y="238267"/>
                  <a:pt x="-13292" y="71697"/>
                  <a:pt x="0" y="0"/>
                </a:cubicBezTo>
                <a:close/>
              </a:path>
            </a:pathLst>
          </a:custGeom>
          <a:ln>
            <a:extLst>
              <a:ext uri="{C807C97D-BFC1-408E-A445-0C87EB9F89A2}">
                <ask:lineSketchStyleProps xmlns:ask="http://schemas.microsoft.com/office/drawing/2018/sketchyshapes" sd="1219033472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4E42307-4C25-48FD-9D50-132FCBD71AF8}" type="TxLink">
              <a:rPr lang="en-US" sz="20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0</a:t>
            </a:fld>
            <a:endParaRPr lang="es-MX" sz="1400" b="1"/>
          </a:p>
        </xdr:txBody>
      </xdr:sp>
      <xdr:sp macro="" textlink="DATOS!C4">
        <xdr:nvSpPr>
          <xdr:cNvPr id="15" name="Rectángulo 14">
            <a:extLst>
              <a:ext uri="{FF2B5EF4-FFF2-40B4-BE49-F238E27FC236}">
                <a16:creationId xmlns:a16="http://schemas.microsoft.com/office/drawing/2014/main" id="{D001BEE4-5614-44FC-AADF-70A9841E324A}"/>
              </a:ext>
            </a:extLst>
          </xdr:cNvPr>
          <xdr:cNvSpPr/>
        </xdr:nvSpPr>
        <xdr:spPr>
          <a:xfrm>
            <a:off x="5142627" y="1913864"/>
            <a:ext cx="1325847" cy="421657"/>
          </a:xfrm>
          <a:prstGeom prst="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fld id="{9F071E99-B530-479E-8715-3A8C2FB3A839}" type="TxLink">
              <a:rPr lang="en-US" sz="16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Duda</a:t>
            </a:fld>
            <a:endParaRPr lang="es-MX" sz="16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sp macro="[0]!Rectángulo3_Haga_clic_en" textlink="DASHBOARD!E6">
        <xdr:nvSpPr>
          <xdr:cNvPr id="16" name="Rectángulo 15">
            <a:extLst>
              <a:ext uri="{FF2B5EF4-FFF2-40B4-BE49-F238E27FC236}">
                <a16:creationId xmlns:a16="http://schemas.microsoft.com/office/drawing/2014/main" id="{10172335-A2FF-444E-A800-BE73203E93B6}"/>
              </a:ext>
            </a:extLst>
          </xdr:cNvPr>
          <xdr:cNvSpPr/>
        </xdr:nvSpPr>
        <xdr:spPr>
          <a:xfrm>
            <a:off x="7033106" y="2475335"/>
            <a:ext cx="917906" cy="328415"/>
          </a:xfrm>
          <a:custGeom>
            <a:avLst/>
            <a:gdLst>
              <a:gd name="csX0" fmla="*/ 0 w 917906"/>
              <a:gd name="csY0" fmla="*/ 0 h 328415"/>
              <a:gd name="csX1" fmla="*/ 477311 w 917906"/>
              <a:gd name="csY1" fmla="*/ 0 h 328415"/>
              <a:gd name="csX2" fmla="*/ 917906 w 917906"/>
              <a:gd name="csY2" fmla="*/ 0 h 328415"/>
              <a:gd name="csX3" fmla="*/ 917906 w 917906"/>
              <a:gd name="csY3" fmla="*/ 328415 h 328415"/>
              <a:gd name="csX4" fmla="*/ 468132 w 917906"/>
              <a:gd name="csY4" fmla="*/ 328415 h 328415"/>
              <a:gd name="csX5" fmla="*/ 0 w 917906"/>
              <a:gd name="csY5" fmla="*/ 328415 h 328415"/>
              <a:gd name="csX6" fmla="*/ 0 w 917906"/>
              <a:gd name="csY6" fmla="*/ 0 h 32841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</a:cxnLst>
            <a:rect l="l" t="t" r="r" b="b"/>
            <a:pathLst>
              <a:path w="917906" h="328415" fill="none" extrusionOk="0">
                <a:moveTo>
                  <a:pt x="0" y="0"/>
                </a:moveTo>
                <a:cubicBezTo>
                  <a:pt x="114973" y="-19396"/>
                  <a:pt x="367333" y="-2013"/>
                  <a:pt x="477311" y="0"/>
                </a:cubicBezTo>
                <a:cubicBezTo>
                  <a:pt x="587289" y="2013"/>
                  <a:pt x="766169" y="-14660"/>
                  <a:pt x="917906" y="0"/>
                </a:cubicBezTo>
                <a:cubicBezTo>
                  <a:pt x="925124" y="68654"/>
                  <a:pt x="911409" y="180776"/>
                  <a:pt x="917906" y="328415"/>
                </a:cubicBezTo>
                <a:cubicBezTo>
                  <a:pt x="763496" y="326535"/>
                  <a:pt x="574707" y="350577"/>
                  <a:pt x="468132" y="328415"/>
                </a:cubicBezTo>
                <a:cubicBezTo>
                  <a:pt x="361557" y="306253"/>
                  <a:pt x="142113" y="331396"/>
                  <a:pt x="0" y="328415"/>
                </a:cubicBezTo>
                <a:cubicBezTo>
                  <a:pt x="7014" y="237707"/>
                  <a:pt x="11250" y="157116"/>
                  <a:pt x="0" y="0"/>
                </a:cubicBezTo>
                <a:close/>
              </a:path>
              <a:path w="917906" h="328415" stroke="0" extrusionOk="0">
                <a:moveTo>
                  <a:pt x="0" y="0"/>
                </a:moveTo>
                <a:cubicBezTo>
                  <a:pt x="111299" y="-10214"/>
                  <a:pt x="317031" y="6040"/>
                  <a:pt x="449774" y="0"/>
                </a:cubicBezTo>
                <a:cubicBezTo>
                  <a:pt x="582517" y="-6040"/>
                  <a:pt x="765668" y="18626"/>
                  <a:pt x="917906" y="0"/>
                </a:cubicBezTo>
                <a:cubicBezTo>
                  <a:pt x="931127" y="88915"/>
                  <a:pt x="917498" y="183399"/>
                  <a:pt x="917906" y="328415"/>
                </a:cubicBezTo>
                <a:cubicBezTo>
                  <a:pt x="712034" y="327849"/>
                  <a:pt x="668888" y="307299"/>
                  <a:pt x="458953" y="328415"/>
                </a:cubicBezTo>
                <a:cubicBezTo>
                  <a:pt x="249018" y="349531"/>
                  <a:pt x="173153" y="333702"/>
                  <a:pt x="0" y="328415"/>
                </a:cubicBezTo>
                <a:cubicBezTo>
                  <a:pt x="8907" y="238267"/>
                  <a:pt x="-13292" y="71697"/>
                  <a:pt x="0" y="0"/>
                </a:cubicBezTo>
                <a:close/>
              </a:path>
            </a:pathLst>
          </a:custGeom>
          <a:ln>
            <a:extLst>
              <a:ext uri="{C807C97D-BFC1-408E-A445-0C87EB9F89A2}">
                <ask:lineSketchStyleProps xmlns:ask="http://schemas.microsoft.com/office/drawing/2018/sketchyshapes" sd="1219033472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857F28C-3BCB-4750-B839-A87A2D5AA42A}" type="TxLink">
              <a:rPr lang="en-US" sz="20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0</a:t>
            </a:fld>
            <a:endParaRPr lang="es-MX" sz="1400" b="1"/>
          </a:p>
        </xdr:txBody>
      </xdr:sp>
      <xdr:sp macro="" textlink="DATOS!C5">
        <xdr:nvSpPr>
          <xdr:cNvPr id="17" name="Rectángulo 16">
            <a:extLst>
              <a:ext uri="{FF2B5EF4-FFF2-40B4-BE49-F238E27FC236}">
                <a16:creationId xmlns:a16="http://schemas.microsoft.com/office/drawing/2014/main" id="{5CB6A6A3-238A-4B51-96D9-A6A7ABDD792F}"/>
              </a:ext>
            </a:extLst>
          </xdr:cNvPr>
          <xdr:cNvSpPr/>
        </xdr:nvSpPr>
        <xdr:spPr>
          <a:xfrm>
            <a:off x="6615121" y="1909426"/>
            <a:ext cx="1325847" cy="421657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fld id="{A4A3AED2-4C4F-456B-8FBF-7F519AE7EA43}" type="TxLink">
              <a:rPr lang="en-US" sz="16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Admitidos</a:t>
            </a:fld>
            <a:endParaRPr lang="es-MX" sz="16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sp macro="[0]!Rectángulo3_Haga_clic_en" textlink="DASHBOARD!G6">
        <xdr:nvSpPr>
          <xdr:cNvPr id="18" name="Rectángulo 17">
            <a:extLst>
              <a:ext uri="{FF2B5EF4-FFF2-40B4-BE49-F238E27FC236}">
                <a16:creationId xmlns:a16="http://schemas.microsoft.com/office/drawing/2014/main" id="{EBD7BC73-BDA6-40C0-B499-C0DD67EC5EB5}"/>
              </a:ext>
            </a:extLst>
          </xdr:cNvPr>
          <xdr:cNvSpPr/>
        </xdr:nvSpPr>
        <xdr:spPr>
          <a:xfrm>
            <a:off x="8766752" y="2470896"/>
            <a:ext cx="917906" cy="328415"/>
          </a:xfrm>
          <a:custGeom>
            <a:avLst/>
            <a:gdLst>
              <a:gd name="csX0" fmla="*/ 0 w 917906"/>
              <a:gd name="csY0" fmla="*/ 0 h 328415"/>
              <a:gd name="csX1" fmla="*/ 477311 w 917906"/>
              <a:gd name="csY1" fmla="*/ 0 h 328415"/>
              <a:gd name="csX2" fmla="*/ 917906 w 917906"/>
              <a:gd name="csY2" fmla="*/ 0 h 328415"/>
              <a:gd name="csX3" fmla="*/ 917906 w 917906"/>
              <a:gd name="csY3" fmla="*/ 328415 h 328415"/>
              <a:gd name="csX4" fmla="*/ 468132 w 917906"/>
              <a:gd name="csY4" fmla="*/ 328415 h 328415"/>
              <a:gd name="csX5" fmla="*/ 0 w 917906"/>
              <a:gd name="csY5" fmla="*/ 328415 h 328415"/>
              <a:gd name="csX6" fmla="*/ 0 w 917906"/>
              <a:gd name="csY6" fmla="*/ 0 h 32841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</a:cxnLst>
            <a:rect l="l" t="t" r="r" b="b"/>
            <a:pathLst>
              <a:path w="917906" h="328415" fill="none" extrusionOk="0">
                <a:moveTo>
                  <a:pt x="0" y="0"/>
                </a:moveTo>
                <a:cubicBezTo>
                  <a:pt x="114973" y="-19396"/>
                  <a:pt x="367333" y="-2013"/>
                  <a:pt x="477311" y="0"/>
                </a:cubicBezTo>
                <a:cubicBezTo>
                  <a:pt x="587289" y="2013"/>
                  <a:pt x="766169" y="-14660"/>
                  <a:pt x="917906" y="0"/>
                </a:cubicBezTo>
                <a:cubicBezTo>
                  <a:pt x="925124" y="68654"/>
                  <a:pt x="911409" y="180776"/>
                  <a:pt x="917906" y="328415"/>
                </a:cubicBezTo>
                <a:cubicBezTo>
                  <a:pt x="763496" y="326535"/>
                  <a:pt x="574707" y="350577"/>
                  <a:pt x="468132" y="328415"/>
                </a:cubicBezTo>
                <a:cubicBezTo>
                  <a:pt x="361557" y="306253"/>
                  <a:pt x="142113" y="331396"/>
                  <a:pt x="0" y="328415"/>
                </a:cubicBezTo>
                <a:cubicBezTo>
                  <a:pt x="7014" y="237707"/>
                  <a:pt x="11250" y="157116"/>
                  <a:pt x="0" y="0"/>
                </a:cubicBezTo>
                <a:close/>
              </a:path>
              <a:path w="917906" h="328415" stroke="0" extrusionOk="0">
                <a:moveTo>
                  <a:pt x="0" y="0"/>
                </a:moveTo>
                <a:cubicBezTo>
                  <a:pt x="111299" y="-10214"/>
                  <a:pt x="317031" y="6040"/>
                  <a:pt x="449774" y="0"/>
                </a:cubicBezTo>
                <a:cubicBezTo>
                  <a:pt x="582517" y="-6040"/>
                  <a:pt x="765668" y="18626"/>
                  <a:pt x="917906" y="0"/>
                </a:cubicBezTo>
                <a:cubicBezTo>
                  <a:pt x="931127" y="88915"/>
                  <a:pt x="917498" y="183399"/>
                  <a:pt x="917906" y="328415"/>
                </a:cubicBezTo>
                <a:cubicBezTo>
                  <a:pt x="712034" y="327849"/>
                  <a:pt x="668888" y="307299"/>
                  <a:pt x="458953" y="328415"/>
                </a:cubicBezTo>
                <a:cubicBezTo>
                  <a:pt x="249018" y="349531"/>
                  <a:pt x="173153" y="333702"/>
                  <a:pt x="0" y="328415"/>
                </a:cubicBezTo>
                <a:cubicBezTo>
                  <a:pt x="8907" y="238267"/>
                  <a:pt x="-13292" y="71697"/>
                  <a:pt x="0" y="0"/>
                </a:cubicBezTo>
                <a:close/>
              </a:path>
            </a:pathLst>
          </a:custGeom>
          <a:ln>
            <a:extLst>
              <a:ext uri="{C807C97D-BFC1-408E-A445-0C87EB9F89A2}">
                <ask:lineSketchStyleProps xmlns:ask="http://schemas.microsoft.com/office/drawing/2018/sketchyshapes" sd="1219033472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A419B8-BE1F-4E36-8820-1D250FE2AE47}" type="TxLink">
              <a:rPr lang="en-US" sz="20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0</a:t>
            </a:fld>
            <a:endParaRPr lang="es-MX" sz="1400" b="1"/>
          </a:p>
        </xdr:txBody>
      </xdr:sp>
      <xdr:sp macro="" textlink="DATOS!C6">
        <xdr:nvSpPr>
          <xdr:cNvPr id="19" name="Rectángulo 18">
            <a:extLst>
              <a:ext uri="{FF2B5EF4-FFF2-40B4-BE49-F238E27FC236}">
                <a16:creationId xmlns:a16="http://schemas.microsoft.com/office/drawing/2014/main" id="{7BD1493F-9109-49AE-B522-CD4EB18B096F}"/>
              </a:ext>
            </a:extLst>
          </xdr:cNvPr>
          <xdr:cNvSpPr/>
        </xdr:nvSpPr>
        <xdr:spPr>
          <a:xfrm>
            <a:off x="8087615" y="1916084"/>
            <a:ext cx="1595034" cy="421657"/>
          </a:xfrm>
          <a:prstGeom prst="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A712B345-B2C5-488D-9CB7-C742659D8F03}" type="TxLink">
              <a:rPr lang="en-US" sz="16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No interesado</a:t>
            </a:fld>
            <a:endParaRPr lang="es-MX" sz="16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sp macro="[0]!Rectángulo3_Haga_clic_en" textlink="DASHBOARD!H6">
        <xdr:nvSpPr>
          <xdr:cNvPr id="20" name="Rectángulo 19">
            <a:extLst>
              <a:ext uri="{FF2B5EF4-FFF2-40B4-BE49-F238E27FC236}">
                <a16:creationId xmlns:a16="http://schemas.microsoft.com/office/drawing/2014/main" id="{D4E2DB08-7EEC-4DC0-9638-009E3EEA71D5}"/>
              </a:ext>
            </a:extLst>
          </xdr:cNvPr>
          <xdr:cNvSpPr/>
        </xdr:nvSpPr>
        <xdr:spPr>
          <a:xfrm>
            <a:off x="10861993" y="2466457"/>
            <a:ext cx="917906" cy="328415"/>
          </a:xfrm>
          <a:custGeom>
            <a:avLst/>
            <a:gdLst>
              <a:gd name="csX0" fmla="*/ 0 w 917906"/>
              <a:gd name="csY0" fmla="*/ 0 h 328415"/>
              <a:gd name="csX1" fmla="*/ 477311 w 917906"/>
              <a:gd name="csY1" fmla="*/ 0 h 328415"/>
              <a:gd name="csX2" fmla="*/ 917906 w 917906"/>
              <a:gd name="csY2" fmla="*/ 0 h 328415"/>
              <a:gd name="csX3" fmla="*/ 917906 w 917906"/>
              <a:gd name="csY3" fmla="*/ 328415 h 328415"/>
              <a:gd name="csX4" fmla="*/ 468132 w 917906"/>
              <a:gd name="csY4" fmla="*/ 328415 h 328415"/>
              <a:gd name="csX5" fmla="*/ 0 w 917906"/>
              <a:gd name="csY5" fmla="*/ 328415 h 328415"/>
              <a:gd name="csX6" fmla="*/ 0 w 917906"/>
              <a:gd name="csY6" fmla="*/ 0 h 32841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</a:cxnLst>
            <a:rect l="l" t="t" r="r" b="b"/>
            <a:pathLst>
              <a:path w="917906" h="328415" fill="none" extrusionOk="0">
                <a:moveTo>
                  <a:pt x="0" y="0"/>
                </a:moveTo>
                <a:cubicBezTo>
                  <a:pt x="114973" y="-19396"/>
                  <a:pt x="367333" y="-2013"/>
                  <a:pt x="477311" y="0"/>
                </a:cubicBezTo>
                <a:cubicBezTo>
                  <a:pt x="587289" y="2013"/>
                  <a:pt x="766169" y="-14660"/>
                  <a:pt x="917906" y="0"/>
                </a:cubicBezTo>
                <a:cubicBezTo>
                  <a:pt x="925124" y="68654"/>
                  <a:pt x="911409" y="180776"/>
                  <a:pt x="917906" y="328415"/>
                </a:cubicBezTo>
                <a:cubicBezTo>
                  <a:pt x="763496" y="326535"/>
                  <a:pt x="574707" y="350577"/>
                  <a:pt x="468132" y="328415"/>
                </a:cubicBezTo>
                <a:cubicBezTo>
                  <a:pt x="361557" y="306253"/>
                  <a:pt x="142113" y="331396"/>
                  <a:pt x="0" y="328415"/>
                </a:cubicBezTo>
                <a:cubicBezTo>
                  <a:pt x="7014" y="237707"/>
                  <a:pt x="11250" y="157116"/>
                  <a:pt x="0" y="0"/>
                </a:cubicBezTo>
                <a:close/>
              </a:path>
              <a:path w="917906" h="328415" stroke="0" extrusionOk="0">
                <a:moveTo>
                  <a:pt x="0" y="0"/>
                </a:moveTo>
                <a:cubicBezTo>
                  <a:pt x="111299" y="-10214"/>
                  <a:pt x="317031" y="6040"/>
                  <a:pt x="449774" y="0"/>
                </a:cubicBezTo>
                <a:cubicBezTo>
                  <a:pt x="582517" y="-6040"/>
                  <a:pt x="765668" y="18626"/>
                  <a:pt x="917906" y="0"/>
                </a:cubicBezTo>
                <a:cubicBezTo>
                  <a:pt x="931127" y="88915"/>
                  <a:pt x="917498" y="183399"/>
                  <a:pt x="917906" y="328415"/>
                </a:cubicBezTo>
                <a:cubicBezTo>
                  <a:pt x="712034" y="327849"/>
                  <a:pt x="668888" y="307299"/>
                  <a:pt x="458953" y="328415"/>
                </a:cubicBezTo>
                <a:cubicBezTo>
                  <a:pt x="249018" y="349531"/>
                  <a:pt x="173153" y="333702"/>
                  <a:pt x="0" y="328415"/>
                </a:cubicBezTo>
                <a:cubicBezTo>
                  <a:pt x="8907" y="238267"/>
                  <a:pt x="-13292" y="71697"/>
                  <a:pt x="0" y="0"/>
                </a:cubicBezTo>
                <a:close/>
              </a:path>
            </a:pathLst>
          </a:custGeom>
          <a:ln>
            <a:extLst>
              <a:ext uri="{C807C97D-BFC1-408E-A445-0C87EB9F89A2}">
                <ask:lineSketchStyleProps xmlns:ask="http://schemas.microsoft.com/office/drawing/2018/sketchyshapes" sd="1219033472">
                  <a:prstGeom prst="rect">
                    <a:avLst/>
                  </a:prstGeom>
                  <ask:type>
                    <ask:lineSketchFreehand/>
                  </ask:type>
                </ask:lineSketchStyleProps>
              </a:ext>
            </a:extLst>
          </a:ln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425D508-CB02-4614-A1DC-E637AEB89E59}" type="TxLink">
              <a:rPr lang="en-US" sz="2000" b="1" i="0" u="none" strike="noStrike">
                <a:solidFill>
                  <a:srgbClr val="FFFFFF"/>
                </a:solidFill>
                <a:latin typeface="Arial"/>
                <a:cs typeface="Arial"/>
              </a:rPr>
              <a:pPr algn="ctr"/>
              <a:t>0</a:t>
            </a:fld>
            <a:endParaRPr lang="es-MX" sz="1400" b="1"/>
          </a:p>
        </xdr:txBody>
      </xdr:sp>
      <xdr:sp macro="" textlink="DATOS!C7">
        <xdr:nvSpPr>
          <xdr:cNvPr id="21" name="Rectángulo 20">
            <a:extLst>
              <a:ext uri="{FF2B5EF4-FFF2-40B4-BE49-F238E27FC236}">
                <a16:creationId xmlns:a16="http://schemas.microsoft.com/office/drawing/2014/main" id="{1CA0D96A-922A-4C83-A072-377A515F432A}"/>
              </a:ext>
            </a:extLst>
          </xdr:cNvPr>
          <xdr:cNvSpPr/>
        </xdr:nvSpPr>
        <xdr:spPr>
          <a:xfrm>
            <a:off x="9821261" y="1900549"/>
            <a:ext cx="1970690" cy="421657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fld id="{2AFED416-9407-497A-8484-B78AD320EB8F}" type="TxLink">
              <a:rPr lang="en-US" sz="16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Dar seguimiento</a:t>
            </a:fld>
            <a:endParaRPr lang="es-MX" sz="16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D3E60A06-91EC-4409-C4C0-76619C161A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62716" y="2435388"/>
            <a:ext cx="371639" cy="396240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52E99DBA-27CF-DBE0-A489-DFE4FED5FB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99493" y="2446485"/>
            <a:ext cx="333846" cy="388369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9E09D4C6-A69E-6B2D-E099-58A950AA3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35828" y="2413197"/>
            <a:ext cx="572525" cy="482403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8185F34A-D43C-6D13-C8F8-B6272B6953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14554" y="2391002"/>
            <a:ext cx="749878" cy="4327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275223</xdr:colOff>
      <xdr:row>5</xdr:row>
      <xdr:rowOff>30334</xdr:rowOff>
    </xdr:from>
    <xdr:to>
      <xdr:col>9</xdr:col>
      <xdr:colOff>526117</xdr:colOff>
      <xdr:row>8</xdr:row>
      <xdr:rowOff>299756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CF46ABAB-9D30-482A-B7AA-7CE4B7FD7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Ferreras Moreta" refreshedDate="46163.67765972222" createdVersion="8" refreshedVersion="8" minRefreshableVersion="3" recordCount="34" xr:uid="{F2FDA6A6-EA23-4639-8C4F-6B3E34C9C654}">
  <cacheSource type="worksheet">
    <worksheetSource name="Tabla2"/>
  </cacheSource>
  <cacheFields count="10">
    <cacheField name="ID" numFmtId="0">
      <sharedItems containsBlank="1" containsMixedTypes="1" containsNumber="1" containsInteger="1" minValue="1" maxValue="30"/>
    </cacheField>
    <cacheField name="Fecha Contacto" numFmtId="0">
      <sharedItems containsBlank="1"/>
    </cacheField>
    <cacheField name="Nombre Completo" numFmtId="0">
      <sharedItems containsBlank="1"/>
    </cacheField>
    <cacheField name="Teléfono" numFmtId="0">
      <sharedItems containsBlank="1"/>
    </cacheField>
    <cacheField name="Correo Electrónico" numFmtId="0">
      <sharedItems containsBlank="1"/>
    </cacheField>
    <cacheField name="Programa de Interés" numFmtId="0">
      <sharedItems containsBlank="1"/>
    </cacheField>
    <cacheField name="Status" numFmtId="0">
      <sharedItems containsBlank="1" count="8">
        <s v="Admitido"/>
        <s v="Interesado"/>
        <s v="No interesado"/>
        <s v="Contactar para Seguimiento"/>
        <s v="En espera de patrocinio"/>
        <s v="Duda / Realizar Seguimiento"/>
        <s v="Pendiente de admision / postergado "/>
        <m/>
      </sharedItems>
    </cacheField>
    <cacheField name="Coordinador " numFmtId="0">
      <sharedItems containsBlank="1"/>
    </cacheField>
    <cacheField name="Próx. Seguimiento" numFmtId="0">
      <sharedItems containsBlank="1"/>
    </cacheField>
    <cacheField name="1era Observa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"/>
    <s v="19/05/2026"/>
    <s v="Juan Pérez"/>
    <s v="809-000-0000"/>
    <s v="juan.perez@mail.com"/>
    <s v="Maestría en Metodología y Ciencias Aplicadas al Entrenamiento Deportivo"/>
    <x v="0"/>
    <s v="Alexis Borges"/>
    <s v="25/05/2026"/>
    <s v="Solicitó información general"/>
  </r>
  <r>
    <s v="#"/>
    <s v="Fecha"/>
    <s v="Nombre"/>
    <s v="Teléfono"/>
    <s v="Correo"/>
    <s v="Maestría en Metodología y Ciencias Aplicadas al Entrenamiento Deportivo"/>
    <x v="1"/>
    <s v="Alexis Borges"/>
    <m/>
    <m/>
  </r>
  <r>
    <n v="1"/>
    <s v="19/05/2026"/>
    <s v="María Rodríguez"/>
    <s v="809-555-1001"/>
    <s v="maria.rodriguez@mail.com"/>
    <s v="Maestría en Diseño de Producción para Cinematografía "/>
    <x v="2"/>
    <s v="Domingo Abreu"/>
    <m/>
    <m/>
  </r>
  <r>
    <n v="2"/>
    <s v="19/05/2026"/>
    <s v="Carlos Fernández"/>
    <s v="829-555-1002"/>
    <s v="carlos.fernandez@mail.com"/>
    <s v="Maestría en Narrativa Audiovisual y Transmedia "/>
    <x v="0"/>
    <s v="Inés de los Santos"/>
    <m/>
    <m/>
  </r>
  <r>
    <n v="3"/>
    <s v="19/05/2026"/>
    <s v="Ana Martínez"/>
    <s v="849-555-1003"/>
    <s v="ana.martinez@mail.com"/>
    <s v="Maestría en Neuropsicología Clínica"/>
    <x v="1"/>
    <s v="Ana Estévez"/>
    <m/>
    <m/>
  </r>
  <r>
    <n v="4"/>
    <s v="19/05/2026"/>
    <s v="José Gómez"/>
    <s v="809-555-1004"/>
    <s v="jose.gomez@mail.com"/>
    <s v="Maestría en Ciberseguridad"/>
    <x v="3"/>
    <s v="Arlene Estévez"/>
    <m/>
    <m/>
  </r>
  <r>
    <n v="5"/>
    <s v="19/05/2026"/>
    <s v="Laura Sánchez"/>
    <s v="829-555-1005"/>
    <s v="laura.sanchez@mail.com"/>
    <s v="Doctorado en Estudios del Español"/>
    <x v="4"/>
    <s v="Florilena De Jesús Paredes"/>
    <m/>
    <m/>
  </r>
  <r>
    <n v="6"/>
    <s v="19/05/2026"/>
    <s v="Miguel Herrera"/>
    <s v="849-555-1006"/>
    <s v="miguel.herrera@mail.com"/>
    <s v="Maestría en Diseño y Planificación Urbana "/>
    <x v="1"/>
    <s v="Michel Valdéz"/>
    <m/>
    <m/>
  </r>
  <r>
    <n v="7"/>
    <s v="19/05/2026"/>
    <s v="Patricia Díaz"/>
    <s v="809-555-1007"/>
    <s v="patricia.diaz@mail.com"/>
    <s v="Maestría en Neuroeducación Cognitiva"/>
    <x v="1"/>
    <s v="Glorianny Báez"/>
    <m/>
    <m/>
  </r>
  <r>
    <n v="8"/>
    <s v="19/05/2026"/>
    <s v="Andrés Ramírez"/>
    <s v="829-555-1008"/>
    <s v="andres.ramirez@mail.com"/>
    <s v="Maestría Movilidad Urbana y Regional "/>
    <x v="5"/>
    <s v="Michel Valdéz"/>
    <m/>
    <m/>
  </r>
  <r>
    <n v="9"/>
    <s v="19/05/2026"/>
    <s v="Daniela Cruz"/>
    <s v="849-555-1009"/>
    <s v="daniela.cruz@mail.com"/>
    <s v="Maestría en Gestión de Riesgo y Tesorería"/>
    <x v="2"/>
    <s v="Isabel Sánchez"/>
    <m/>
    <m/>
  </r>
  <r>
    <n v="10"/>
    <s v="19/05/2026"/>
    <s v="Luis Peña"/>
    <s v="809-555-1010"/>
    <s v="luis.pena@mail.com"/>
    <s v="Maestría en Gestión Bancaria y Financiera"/>
    <x v="1"/>
    <s v="Isabel Sánchez"/>
    <m/>
    <m/>
  </r>
  <r>
    <n v="11"/>
    <s v="19/05/2026"/>
    <s v="Sofía Castillo"/>
    <s v="829-555-1011"/>
    <s v="sofia.castillo@mail.com"/>
    <s v="Maestria en Mercados Financieros"/>
    <x v="5"/>
    <s v="Isabel Sánchez"/>
    <m/>
    <m/>
  </r>
  <r>
    <n v="12"/>
    <s v="19/05/2026"/>
    <s v="Ricardo Núñez"/>
    <s v="849-555-1012"/>
    <s v="ricardo.nunez@mail.com"/>
    <s v="Maestría en Diseño Arquitectónico concentración Arquitectura de Interiores/Alojamientos Turisticos"/>
    <x v="5"/>
    <s v="Jaime Sued"/>
    <m/>
    <m/>
  </r>
  <r>
    <n v="13"/>
    <s v="19/05/2026"/>
    <s v="Elena Morales"/>
    <s v="809-555-1013"/>
    <s v="elena.morales@mail.com"/>
    <s v="Maestría en Periodoncia e Implantología Oral"/>
    <x v="0"/>
    <s v="Aimee Cuesta"/>
    <m/>
    <m/>
  </r>
  <r>
    <n v="14"/>
    <s v="19/05/2026"/>
    <s v="Javier López"/>
    <s v="829-555-1014"/>
    <s v="javier.lopez@mail.com"/>
    <s v="Maestría en Prostodoncia e Implantología Oral"/>
    <x v="0"/>
    <s v="Kenia Rodríguez / Luvian Corniel CSTI                                                                           "/>
    <m/>
    <m/>
  </r>
  <r>
    <n v="15"/>
    <s v="19/05/2026"/>
    <s v="Camila Torres"/>
    <s v="849-555-1015"/>
    <s v="camila.torres@mail.com"/>
    <s v="Maestria en Rehabilitacion Bucal"/>
    <x v="0"/>
    <s v="Nelson Orsini / Luvian Corniel"/>
    <m/>
    <m/>
  </r>
  <r>
    <n v="16"/>
    <s v="19/05/2026"/>
    <s v="Fernando Reyes"/>
    <s v="809-555-1016"/>
    <s v="fernando.reyes@mail.com"/>
    <s v="Maestria en Odontopediatria"/>
    <x v="6"/>
    <s v="Zaida Jimenez /Luvian Corniel"/>
    <m/>
    <m/>
  </r>
  <r>
    <n v="17"/>
    <s v="19/05/2026"/>
    <s v="Gabriela Ortiz"/>
    <s v="829-555-1017"/>
    <s v="gabriela.ortiz@mail.com"/>
    <s v="Especialidad en Trastornos Temporomandibular y Dolor Orofacial"/>
    <x v="5"/>
    <s v="Elba Estrella / Luvian Corniel"/>
    <m/>
    <m/>
  </r>
  <r>
    <n v="18"/>
    <s v="19/05/2026"/>
    <s v="Eduardo Vargas"/>
    <s v="849-555-1018"/>
    <s v="eduardo.vargas@mail.com"/>
    <s v="Maestria en Gestion de Sistemas Ferroviaros"/>
    <x v="4"/>
    <s v="Jesús Ramírez"/>
    <m/>
    <m/>
  </r>
  <r>
    <n v="19"/>
    <s v="19/05/2026"/>
    <s v="Valeria Medina"/>
    <s v="809-555-1019"/>
    <s v="valeria.medina@mail.com"/>
    <s v="Maestría  en Gestión de la Cadena de Suministro"/>
    <x v="5"/>
    <s v="Luis Germosén / Edwin Hernández CSTI / Julián Mena CSD"/>
    <m/>
    <m/>
  </r>
  <r>
    <n v="20"/>
    <s v="19/05/2026"/>
    <s v="Roberto Jiménez"/>
    <s v="829-555-1020"/>
    <s v="roberto.jimenez@mail.com"/>
    <s v="Maestría en Dirección de Comunicación Corporativa"/>
    <x v="5"/>
    <s v="Magdalena Durán"/>
    <m/>
    <m/>
  </r>
  <r>
    <n v="21"/>
    <s v="19/05/2026"/>
    <s v="Natalia Cabrera"/>
    <s v="849-555-1021"/>
    <s v="natalia.cabrera@mail.com"/>
    <s v="Maestría en Derecho Tributario"/>
    <x v="1"/>
    <s v="Pascal Peña"/>
    <m/>
    <m/>
  </r>
  <r>
    <n v="22"/>
    <s v="19/05/2026"/>
    <s v="Diego Santana"/>
    <s v="809-555-1022"/>
    <s v="diego.santana@mail.com"/>
    <s v="Maestría en Derecho del Trabajo  y de la Seguridad Social "/>
    <x v="3"/>
    <s v="Miguelina Ureña - CSTI/ Pascal Peña - CSD"/>
    <m/>
    <m/>
  </r>
  <r>
    <n v="23"/>
    <s v="19/05/2026"/>
    <s v="Paola Vega"/>
    <s v="829-555-1023"/>
    <s v="paola.vega@mail.com"/>
    <s v="Maestría en Gestión de Empresas concentración Finanzas"/>
    <x v="2"/>
    <s v="Natalia Concepción -CSTI / Isabel Sánchez -CSD"/>
    <m/>
    <m/>
  </r>
  <r>
    <n v="24"/>
    <s v="19/05/2026"/>
    <s v="Cristian Acosta"/>
    <s v="849-555-1024"/>
    <s v="cristian.acosta@mail.com"/>
    <s v="Maestría en Gestión de Empresas concentración Habilidades Directivas"/>
    <x v="1"/>
    <s v="Natalia Concepción -CSTI / Isabel Sánchez -CSD"/>
    <m/>
    <m/>
  </r>
  <r>
    <n v="25"/>
    <s v="19/05/2026"/>
    <s v="Verónica Paredes"/>
    <s v="809-555-1025"/>
    <s v="veronica.paredes@mail.com"/>
    <s v="Maestria Gestión de Empresas concentración Estrategia"/>
    <x v="1"/>
    <s v="Natalia Concepción -CSTI / Isabel Sánchez -CSD"/>
    <m/>
    <m/>
  </r>
  <r>
    <n v="26"/>
    <s v="19/05/2026"/>
    <s v="Samuel Molina"/>
    <s v="829-555-1026"/>
    <s v="samuel.molina@mail.com"/>
    <s v="Maestría en Patología del Lenguaje y Habla"/>
    <x v="2"/>
    <s v="Sor Salcedo"/>
    <m/>
    <m/>
  </r>
  <r>
    <n v="27"/>
    <s v="19/05/2026"/>
    <s v="Karina Paulino"/>
    <s v="849-555-1027"/>
    <s v="karina.paulino@mail.com"/>
    <s v="Maestría en Administración de la Construcción"/>
    <x v="1"/>
    <s v="Ver con Pedro Reyes"/>
    <m/>
    <m/>
  </r>
  <r>
    <n v="28"/>
    <s v="19/05/2026"/>
    <s v="Héctor Valdez"/>
    <s v="809-555-1028"/>
    <s v="hector.valdez@mail.com"/>
    <s v="Maestría en Gerencia en Servicios de Alimentación"/>
    <x v="5"/>
    <s v="Yahaira Josefina Sánchez"/>
    <m/>
    <m/>
  </r>
  <r>
    <n v="29"/>
    <s v="19/05/2026"/>
    <s v="Alicia Rosario"/>
    <s v="829-555-1029"/>
    <s v="alicia.rosario@mail.com"/>
    <s v="Doctorado en Historia del Caribe"/>
    <x v="0"/>
    <s v="Mukien Sang"/>
    <m/>
    <m/>
  </r>
  <r>
    <n v="30"/>
    <s v="19/05/2026"/>
    <s v="Tomás Guerrero"/>
    <s v="849-555-1030"/>
    <s v="tomas.guerrero@mail.com"/>
    <s v="Maestria en Derecho de los Mercados Financieros"/>
    <x v="4"/>
    <s v="Miguelina Ureña"/>
    <m/>
    <m/>
  </r>
  <r>
    <m/>
    <m/>
    <m/>
    <m/>
    <m/>
    <m/>
    <x v="7"/>
    <m/>
    <m/>
    <m/>
  </r>
  <r>
    <m/>
    <m/>
    <m/>
    <m/>
    <m/>
    <m/>
    <x v="7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63D5F0-3D4D-4326-B877-32E7A07466BF}" name="TablaDinámica1" cacheId="3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1">
  <location ref="A15:B24" firstHeaderRow="1" firstDataRow="1" firstDataCol="1"/>
  <pivotFields count="10">
    <pivotField showAll="0"/>
    <pivotField showAll="0"/>
    <pivotField dataField="1" showAll="0"/>
    <pivotField showAll="0"/>
    <pivotField showAll="0"/>
    <pivotField showAll="0"/>
    <pivotField axis="axisRow" showAll="0">
      <items count="9">
        <item x="6"/>
        <item x="5"/>
        <item x="0"/>
        <item x="1"/>
        <item x="7"/>
        <item x="2"/>
        <item x="3"/>
        <item x="4"/>
        <item t="default"/>
      </items>
    </pivotField>
    <pivotField showAll="0"/>
    <pivotField showAll="0"/>
    <pivotField showAl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porcón de Estatus" fld="2" subtotal="count" baseField="6" baseItem="0"/>
  </dataFields>
  <chartFormats count="9">
    <chartFormat chart="2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8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8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8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8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8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06E52F-B2B3-4A64-8E73-E0340F92923A}" name="Tabla2" displayName="Tabla2" ref="A10:M21" totalsRowShown="0" headerRowDxfId="33" dataDxfId="32" headerRowBorderDxfId="30" tableBorderDxfId="31" totalsRowBorderDxfId="29">
  <tableColumns count="13">
    <tableColumn id="1" xr3:uid="{21EEB73B-96F5-41FC-B93F-AEAFB36BDF29}" name="ID" dataDxfId="28"/>
    <tableColumn id="2" xr3:uid="{60D5CFBD-5111-4097-B944-31E21955CA1A}" name="Fecha Contacto" dataDxfId="27"/>
    <tableColumn id="3" xr3:uid="{18E447DD-B61E-4367-81E4-C21C5ED66A5C}" name="Nombre Completo" dataDxfId="26"/>
    <tableColumn id="4" xr3:uid="{3FA9966E-C11E-4B92-9B6D-578DEF0CDC9C}" name="Teléfono" dataDxfId="25"/>
    <tableColumn id="5" xr3:uid="{7E1F915C-6250-44BD-8D25-7A9A06C527DA}" name="Correo Electrónico" dataDxfId="24"/>
    <tableColumn id="6" xr3:uid="{0C90055D-AAE3-441D-8032-6499E4B4E80D}" name="Programa de Interés" dataDxfId="23"/>
    <tableColumn id="7" xr3:uid="{E291580E-5EEC-4091-B71A-90423619F6FA}" name="Status" dataDxfId="22"/>
    <tableColumn id="8" xr3:uid="{5E83DECE-EC57-4159-A60B-C923C3D6FE90}" name="Coordinador " dataDxfId="21">
      <calculatedColumnFormula>IFERROR(VLOOKUP(Tabla2[[#This Row],[Programa de Interés]],PROGRAMAS!A4:C44,2,FALSE),"Verificar")</calculatedColumnFormula>
    </tableColumn>
    <tableColumn id="10" xr3:uid="{3BDC5F5A-F6B2-462B-93F5-2F50630DE776}" name="1era Observacion" dataDxfId="20"/>
    <tableColumn id="11" xr3:uid="{3E8136DC-9C16-4A6C-B6E7-9A37C00D9A2D}" name="1 er contacto Reailzado y Concluciones" dataDxfId="19"/>
    <tableColumn id="14" xr3:uid="{06B90773-7C44-41A1-860B-49AA0691168C}" name="Próx. Seguimiento" dataDxfId="18"/>
    <tableColumn id="12" xr3:uid="{BE6CC86E-9629-4CAA-9657-9D04273E6038}" name="2 do contacto Reailzado y Concluciones" dataDxfId="17"/>
    <tableColumn id="13" xr3:uid="{D0AB823C-3F08-443C-BFCC-331AF548D29E}" name="CAMPU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6E92AD-2377-43DA-B66E-2373E10DC9A4}" name="Tabla4" displayName="Tabla4" ref="A8:D49" totalsRowShown="0" headerRowDxfId="16">
  <autoFilter ref="A8:D49" xr:uid="{546E92AD-2377-43DA-B66E-2373E10DC9A4}"/>
  <tableColumns count="4">
    <tableColumn id="1" xr3:uid="{26213848-038F-40EB-87C2-DB6E9C5A74E9}" name="PROGRAMA"/>
    <tableColumn id="2" xr3:uid="{3F5B72A6-8844-40AC-ABF8-C8C6B7524E57}" name="CONTACTOS">
      <calculatedColumnFormula>COUNTIF(Tabla2[[#All],[Programa de Interés]],A9)</calculatedColumnFormula>
    </tableColumn>
    <tableColumn id="3" xr3:uid="{CF6F3889-E315-4EC0-BF6D-6C7CF04E8E23}" name="%" dataDxfId="15">
      <calculatedColumnFormula>IFERROR(Tabla4[[#This Row],[CONTACTOS]]/Tabla4[[#This Row],[CONTACTOS]],0)</calculatedColumnFormula>
    </tableColumn>
    <tableColumn id="4" xr3:uid="{B4B1689B-5A6B-4DC0-9208-7172E2CC258F}" name="COORDINADOR" dataDxfId="14">
      <calculatedColumnFormula>VLOOKUP(Tabla4[[#This Row],[PROGRAMA]],PROGRAMAS!A4:C44,2,FALSE)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96C575-FCE2-4D44-9DB3-D8694E47BB51}" name="Tabla5" displayName="Tabla5" ref="A4:E38" totalsRowShown="0" headerRowDxfId="11" dataDxfId="10" tableBorderDxfId="9">
  <autoFilter ref="A4:E38" xr:uid="{0096C575-FCE2-4D44-9DB3-D8694E47BB51}"/>
  <tableColumns count="5">
    <tableColumn id="1" xr3:uid="{4801C350-B52A-460D-AF55-4BEB1BF2656D}" name="#" dataDxfId="8"/>
    <tableColumn id="2" xr3:uid="{DB1F9266-5F41-4D99-BEA4-C2D607CEB068}" name="Asesor" dataDxfId="7"/>
    <tableColumn id="3" xr3:uid="{860AAD59-9A24-486C-8FD6-8B72B567C784}" name="Programa" dataDxfId="6"/>
    <tableColumn id="4" xr3:uid="{B758C855-7C5C-46DA-AE34-8A56049FB84D}" name="interesados" dataDxfId="5">
      <calculatedColumnFormula>COUNTIF(Tabla2[[#All],[Coordinador ]],B5)</calculatedColumnFormula>
    </tableColumn>
    <tableColumn id="5" xr3:uid="{27FEB86C-6A34-43BA-A19F-1CA79932BD9B}" name="% Cierre" dataDxfId="4">
      <calculatedColumnFormula>IFERROR(Tabla5[[#This Row],[interesados]]/SUM(Tabla5[interesados]),0)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462033-A54C-4120-AC5A-02C195F7B78B}" name="status" displayName="status" ref="A1:A8" totalsRowShown="0" headerRowDxfId="3">
  <autoFilter ref="A1:A8" xr:uid="{28462033-A54C-4120-AC5A-02C195F7B78B}"/>
  <tableColumns count="1">
    <tableColumn id="1" xr3:uid="{8E99F592-E727-4F0C-9C1F-EE63CDC40AD7}" name="statu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B2B2570-437E-4041-B77F-EBEDED9BF158}" name="Tabla7" displayName="Tabla7" ref="C1:D8" totalsRowShown="0" dataDxfId="2">
  <autoFilter ref="C1:D8" xr:uid="{0B2B2570-437E-4041-B77F-EBEDED9BF158}"/>
  <tableColumns count="2">
    <tableColumn id="1" xr3:uid="{06BB4229-A8C0-4583-BEBA-74CBF1557647}" name="botones" dataDxfId="1"/>
    <tableColumn id="2" xr3:uid="{3B808502-9758-47A7-8288-225F148C7E40}" name="Columna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M21"/>
  <sheetViews>
    <sheetView tabSelected="1" topLeftCell="A8" zoomScaleNormal="100" workbookViewId="0">
      <selection activeCell="L14" sqref="L14"/>
    </sheetView>
  </sheetViews>
  <sheetFormatPr defaultColWidth="9.140625" defaultRowHeight="15"/>
  <cols>
    <col min="1" max="1" width="10" customWidth="1"/>
    <col min="2" max="2" width="18.85546875" customWidth="1"/>
    <col min="3" max="3" width="36.28515625" customWidth="1"/>
    <col min="4" max="4" width="13.42578125" customWidth="1"/>
    <col min="5" max="5" width="52.5703125" customWidth="1"/>
    <col min="6" max="6" width="55.28515625" customWidth="1"/>
    <col min="7" max="7" width="25" customWidth="1"/>
    <col min="8" max="8" width="52.7109375" customWidth="1"/>
    <col min="9" max="9" width="21.140625" customWidth="1"/>
    <col min="10" max="10" width="29.42578125" customWidth="1"/>
    <col min="11" max="11" width="30" customWidth="1"/>
    <col min="12" max="12" width="34.7109375" customWidth="1"/>
  </cols>
  <sheetData>
    <row r="1" spans="1:13" ht="14.1" customHeight="1">
      <c r="A1" s="85"/>
      <c r="B1" s="91"/>
      <c r="C1" s="91"/>
      <c r="D1" s="91"/>
      <c r="E1" s="91"/>
      <c r="F1" s="91"/>
      <c r="G1" s="91"/>
      <c r="H1" s="91"/>
      <c r="I1" s="91"/>
      <c r="J1" s="91"/>
    </row>
    <row r="2" spans="1:13" ht="39.950000000000003" customHeight="1">
      <c r="A2" s="84" t="s">
        <v>0</v>
      </c>
      <c r="B2" s="84"/>
      <c r="C2" s="84"/>
      <c r="D2" s="84"/>
      <c r="E2" s="84"/>
      <c r="F2" s="84"/>
      <c r="G2" s="84"/>
      <c r="H2" s="84"/>
      <c r="I2" s="84"/>
      <c r="J2" s="84"/>
    </row>
    <row r="3" spans="1:13" ht="0.75" customHeight="1">
      <c r="A3" s="85"/>
      <c r="B3" s="91"/>
      <c r="C3" s="91"/>
      <c r="D3" s="91"/>
      <c r="E3" s="91"/>
      <c r="F3" s="91"/>
      <c r="G3" s="91"/>
      <c r="H3" s="91"/>
      <c r="I3" s="91"/>
      <c r="J3" s="91"/>
    </row>
    <row r="4" spans="1:13" ht="0.75" customHeight="1">
      <c r="A4" s="36"/>
      <c r="B4" s="37"/>
      <c r="C4" s="37"/>
      <c r="D4" s="37"/>
      <c r="E4" s="37"/>
      <c r="F4" s="37"/>
      <c r="G4" s="37"/>
      <c r="H4" s="37"/>
      <c r="I4" s="37"/>
      <c r="J4" s="37"/>
    </row>
    <row r="5" spans="1:13" ht="39.75" customHeight="1">
      <c r="A5" s="39"/>
      <c r="B5" s="39"/>
      <c r="C5" s="39"/>
      <c r="D5" s="39"/>
      <c r="E5" s="39"/>
      <c r="F5" s="39"/>
      <c r="G5" s="46" t="s">
        <v>1</v>
      </c>
      <c r="H5" s="38">
        <f ca="1">TODAY()</f>
        <v>46170</v>
      </c>
      <c r="I5" s="39"/>
      <c r="J5" s="39"/>
    </row>
    <row r="6" spans="1:13" ht="36.75" customHeight="1">
      <c r="F6" s="33"/>
      <c r="I6" s="25"/>
      <c r="J6" s="25"/>
    </row>
    <row r="7" spans="1:13" ht="27.95" customHeight="1">
      <c r="I7" s="25"/>
      <c r="J7" s="25"/>
    </row>
    <row r="8" spans="1:13" ht="77.25" customHeight="1">
      <c r="A8" s="83"/>
      <c r="B8" s="92"/>
      <c r="C8" s="92"/>
      <c r="D8" s="92"/>
      <c r="E8" s="92"/>
      <c r="F8" s="92"/>
      <c r="G8" s="92"/>
      <c r="H8" s="92"/>
      <c r="I8" s="92"/>
      <c r="J8" s="92"/>
    </row>
    <row r="9" spans="1:13" ht="25.5" customHeight="1">
      <c r="A9" s="1"/>
    </row>
    <row r="10" spans="1:13" ht="32.1" customHeight="1">
      <c r="A10" s="23" t="s">
        <v>2</v>
      </c>
      <c r="B10" s="24" t="s">
        <v>3</v>
      </c>
      <c r="C10" s="24" t="s">
        <v>4</v>
      </c>
      <c r="D10" s="24" t="s">
        <v>5</v>
      </c>
      <c r="E10" s="24" t="s">
        <v>6</v>
      </c>
      <c r="F10" s="24" t="s">
        <v>7</v>
      </c>
      <c r="G10" s="24" t="s">
        <v>8</v>
      </c>
      <c r="H10" s="24" t="s">
        <v>9</v>
      </c>
      <c r="I10" s="66" t="s">
        <v>10</v>
      </c>
      <c r="J10" s="72" t="s">
        <v>11</v>
      </c>
      <c r="K10" s="24" t="s">
        <v>12</v>
      </c>
      <c r="L10" s="72" t="s">
        <v>13</v>
      </c>
      <c r="M10" s="72" t="s">
        <v>14</v>
      </c>
    </row>
    <row r="11" spans="1:13" ht="32.25" customHeight="1">
      <c r="A11" s="74">
        <v>10173273</v>
      </c>
      <c r="B11" s="82">
        <v>46169</v>
      </c>
      <c r="C11" s="75" t="s">
        <v>15</v>
      </c>
      <c r="D11" s="74" t="s">
        <v>16</v>
      </c>
      <c r="E11" s="75" t="s">
        <v>17</v>
      </c>
      <c r="F11" s="75" t="s">
        <v>18</v>
      </c>
      <c r="G11" s="32" t="s">
        <v>19</v>
      </c>
      <c r="H11" s="70" t="str">
        <f>IFERROR(VLOOKUP(Tabla2[[#This Row],[Programa de Interés]],PROGRAMAS!A4:C44,2,FALSE),"Verificar")</f>
        <v>Isabel Sánchez</v>
      </c>
      <c r="I11" s="67"/>
      <c r="J11" s="33"/>
      <c r="K11" s="8"/>
      <c r="L11" s="33"/>
      <c r="M11" s="74" t="s">
        <v>20</v>
      </c>
    </row>
    <row r="12" spans="1:13">
      <c r="A12" s="74">
        <v>10173230</v>
      </c>
      <c r="B12" s="82">
        <v>46169</v>
      </c>
      <c r="C12" s="75" t="s">
        <v>21</v>
      </c>
      <c r="D12" s="74" t="s">
        <v>22</v>
      </c>
      <c r="E12" s="75" t="s">
        <v>23</v>
      </c>
      <c r="F12" s="75" t="s">
        <v>24</v>
      </c>
      <c r="G12" s="76" t="s">
        <v>19</v>
      </c>
      <c r="H12" s="77" t="str">
        <f>IFERROR(VLOOKUP(Tabla2[[#This Row],[Programa de Interés]],PROGRAMAS!A5:C45,2,FALSE),"Verificar")</f>
        <v>Michel Valdéz</v>
      </c>
      <c r="I12" s="69"/>
      <c r="J12" s="33"/>
      <c r="K12" s="68"/>
      <c r="L12" s="33"/>
      <c r="M12" s="74" t="s">
        <v>20</v>
      </c>
    </row>
    <row r="13" spans="1:13">
      <c r="A13" s="74">
        <v>10173175</v>
      </c>
      <c r="B13" s="82">
        <v>46169</v>
      </c>
      <c r="C13" s="75" t="s">
        <v>25</v>
      </c>
      <c r="D13" s="74" t="s">
        <v>26</v>
      </c>
      <c r="E13" s="75" t="s">
        <v>27</v>
      </c>
      <c r="F13" s="75" t="s">
        <v>28</v>
      </c>
      <c r="G13" s="76" t="s">
        <v>19</v>
      </c>
      <c r="H13" s="77" t="str">
        <f>IFERROR(VLOOKUP(Tabla2[[#This Row],[Programa de Interés]],PROGRAMAS!A6:C45,2,FALSE),"Verificar")</f>
        <v>Miguelina Ureña</v>
      </c>
      <c r="I13" s="69"/>
      <c r="J13" s="33"/>
      <c r="K13" s="68"/>
      <c r="L13" s="33"/>
      <c r="M13" s="74" t="s">
        <v>20</v>
      </c>
    </row>
    <row r="14" spans="1:13">
      <c r="A14" s="74">
        <v>10173159</v>
      </c>
      <c r="B14" s="82">
        <v>46169</v>
      </c>
      <c r="C14" s="75" t="s">
        <v>29</v>
      </c>
      <c r="D14" s="74" t="s">
        <v>30</v>
      </c>
      <c r="E14" s="75" t="s">
        <v>31</v>
      </c>
      <c r="F14" s="75" t="s">
        <v>32</v>
      </c>
      <c r="G14" s="76" t="s">
        <v>19</v>
      </c>
      <c r="H14" s="77" t="str">
        <f>IFERROR(VLOOKUP(Tabla2[[#This Row],[Programa de Interés]],PROGRAMAS!A7:C46,2,FALSE),"Verificar")</f>
        <v>Marcela Mirabal</v>
      </c>
      <c r="I14" s="69"/>
      <c r="J14" s="33"/>
      <c r="K14" s="68"/>
      <c r="L14" s="33"/>
      <c r="M14" s="74" t="s">
        <v>20</v>
      </c>
    </row>
    <row r="15" spans="1:13">
      <c r="A15" s="74">
        <v>10133266</v>
      </c>
      <c r="B15" s="82">
        <v>46169</v>
      </c>
      <c r="C15" s="75" t="s">
        <v>33</v>
      </c>
      <c r="D15" s="74" t="s">
        <v>34</v>
      </c>
      <c r="E15" s="75" t="s">
        <v>35</v>
      </c>
      <c r="F15" s="75" t="s">
        <v>36</v>
      </c>
      <c r="G15" s="76" t="s">
        <v>19</v>
      </c>
      <c r="H15" s="71" t="str">
        <f>IFERROR(VLOOKUP(Tabla2[[#This Row],[Programa de Interés]],PROGRAMAS!A8:C46,2,FALSE),"Verificar")</f>
        <v>Maribel Justo</v>
      </c>
      <c r="I15" s="69"/>
      <c r="J15" s="33"/>
      <c r="K15" s="68"/>
      <c r="L15" s="33"/>
      <c r="M15" s="74" t="s">
        <v>20</v>
      </c>
    </row>
    <row r="16" spans="1:13">
      <c r="A16" s="74">
        <v>10173056</v>
      </c>
      <c r="B16" s="82">
        <v>46169</v>
      </c>
      <c r="C16" s="75" t="s">
        <v>37</v>
      </c>
      <c r="D16" s="74" t="s">
        <v>38</v>
      </c>
      <c r="E16" s="75" t="s">
        <v>39</v>
      </c>
      <c r="F16" s="75" t="s">
        <v>40</v>
      </c>
      <c r="G16" s="76" t="s">
        <v>19</v>
      </c>
      <c r="H16" s="71" t="str">
        <f>IFERROR(VLOOKUP(Tabla2[[#This Row],[Programa de Interés]],PROGRAMAS!A9:C47,2,FALSE),"Verificar")</f>
        <v>Arlene Estévez</v>
      </c>
      <c r="I16" s="69"/>
      <c r="J16" s="33"/>
      <c r="K16" s="68"/>
      <c r="L16" s="33"/>
      <c r="M16" s="74" t="s">
        <v>20</v>
      </c>
    </row>
    <row r="17" spans="1:13">
      <c r="A17" s="74">
        <v>10172394</v>
      </c>
      <c r="B17" s="82">
        <v>46169</v>
      </c>
      <c r="C17" s="75" t="s">
        <v>41</v>
      </c>
      <c r="D17" s="74" t="s">
        <v>42</v>
      </c>
      <c r="E17" s="75" t="s">
        <v>43</v>
      </c>
      <c r="F17" s="75" t="s">
        <v>28</v>
      </c>
      <c r="G17" s="76" t="s">
        <v>19</v>
      </c>
      <c r="H17" s="71" t="str">
        <f>IFERROR(VLOOKUP(Tabla2[[#This Row],[Programa de Interés]],PROGRAMAS!A10:C48,2,FALSE),"Verificar")</f>
        <v>Miguelina Ureña</v>
      </c>
      <c r="I17" s="69"/>
      <c r="J17" s="33"/>
      <c r="K17" s="68"/>
      <c r="L17" s="33"/>
      <c r="M17" s="74" t="s">
        <v>20</v>
      </c>
    </row>
    <row r="18" spans="1:13">
      <c r="A18" s="74">
        <v>10173289</v>
      </c>
      <c r="B18" s="82">
        <v>46169</v>
      </c>
      <c r="C18" s="75" t="s">
        <v>44</v>
      </c>
      <c r="D18" s="74" t="s">
        <v>45</v>
      </c>
      <c r="E18" s="75" t="s">
        <v>46</v>
      </c>
      <c r="F18" s="75" t="s">
        <v>47</v>
      </c>
      <c r="G18" s="76" t="s">
        <v>19</v>
      </c>
      <c r="H18" s="71" t="str">
        <f>IFERROR(VLOOKUP(Tabla2[[#This Row],[Programa de Interés]],PROGRAMAS!A11:C49,2,FALSE),"Verificar")</f>
        <v>Luis Germosén / Edwin Hernández CSTI / Julián Mena CSD</v>
      </c>
      <c r="I18" s="69"/>
      <c r="J18" s="33"/>
      <c r="K18" s="68"/>
      <c r="L18" s="33"/>
      <c r="M18" s="74" t="s">
        <v>48</v>
      </c>
    </row>
    <row r="19" spans="1:13" ht="29.25">
      <c r="A19" s="74">
        <v>10145648</v>
      </c>
      <c r="B19" s="82">
        <v>46169</v>
      </c>
      <c r="C19" s="75" t="s">
        <v>49</v>
      </c>
      <c r="D19" s="74" t="s">
        <v>50</v>
      </c>
      <c r="E19" s="75" t="s">
        <v>51</v>
      </c>
      <c r="F19" s="75" t="s">
        <v>52</v>
      </c>
      <c r="G19" s="76" t="s">
        <v>19</v>
      </c>
      <c r="H19" s="71" t="str">
        <f>IFERROR(VLOOKUP(Tabla2[[#This Row],[Programa de Interés]],PROGRAMAS!A12:C50,2,FALSE),"Verificar")</f>
        <v>Natalia Concepción -CSTI / Isabel Sánchez -CSD</v>
      </c>
      <c r="I19" s="69"/>
      <c r="J19" s="33"/>
      <c r="K19" s="68"/>
      <c r="L19" s="33"/>
      <c r="M19" s="74" t="s">
        <v>48</v>
      </c>
    </row>
    <row r="20" spans="1:13">
      <c r="A20" s="74">
        <v>10173174</v>
      </c>
      <c r="B20" s="82">
        <v>46169</v>
      </c>
      <c r="C20" s="75" t="s">
        <v>53</v>
      </c>
      <c r="D20" s="74" t="s">
        <v>54</v>
      </c>
      <c r="E20" s="75" t="s">
        <v>55</v>
      </c>
      <c r="F20" s="75" t="s">
        <v>56</v>
      </c>
      <c r="G20" s="76" t="s">
        <v>19</v>
      </c>
      <c r="H20" s="71" t="str">
        <f>IFERROR(VLOOKUP(Tabla2[[#This Row],[Programa de Interés]],PROGRAMAS!A13:C51,2,FALSE),"Verificar")</f>
        <v>Sor Salcedo</v>
      </c>
      <c r="I20" s="69"/>
      <c r="J20" s="33"/>
      <c r="K20" s="68"/>
      <c r="L20" s="33"/>
      <c r="M20" s="74" t="s">
        <v>48</v>
      </c>
    </row>
    <row r="21" spans="1:13">
      <c r="A21" s="74">
        <v>10139461</v>
      </c>
      <c r="B21" s="82">
        <v>46169</v>
      </c>
      <c r="C21" s="75" t="s">
        <v>57</v>
      </c>
      <c r="D21" s="74" t="s">
        <v>58</v>
      </c>
      <c r="E21" s="75" t="s">
        <v>59</v>
      </c>
      <c r="F21" s="75" t="s">
        <v>60</v>
      </c>
      <c r="G21" s="76" t="s">
        <v>19</v>
      </c>
      <c r="H21" s="71" t="str">
        <f>IFERROR(VLOOKUP(Tabla2[[#This Row],[Programa de Interés]],PROGRAMAS!A14:C52,2,FALSE),"Verificar")</f>
        <v>Zaida Jimenez /Luvian Corniel</v>
      </c>
      <c r="I21" s="69"/>
      <c r="J21" s="33"/>
      <c r="K21" s="68"/>
      <c r="L21" s="33"/>
      <c r="M21" s="74" t="s">
        <v>48</v>
      </c>
    </row>
  </sheetData>
  <mergeCells count="4">
    <mergeCell ref="A8:J8"/>
    <mergeCell ref="A2:J2"/>
    <mergeCell ref="A1:J1"/>
    <mergeCell ref="A3:J3"/>
  </mergeCells>
  <pageMargins left="0.25" right="0.25" top="0.75" bottom="0.75" header="0.3" footer="0.3"/>
  <pageSetup paperSize="17" scale="89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23A0875-5809-458A-BC05-9022C478976D}">
            <xm:f>NOT(ISERROR(SEARCH(DATOS!$A$8,G11)))</xm:f>
            <xm:f>DATOS!$A$8</xm:f>
            <x14:dxf>
              <fill>
                <patternFill>
                  <bgColor theme="9" tint="0.59996337778862885"/>
                </patternFill>
              </fill>
            </x14:dxf>
          </x14:cfRule>
          <x14:cfRule type="containsText" priority="2" operator="containsText" id="{B807DF03-0A13-46B1-BFDC-89A80DC4960A}">
            <xm:f>NOT(ISERROR(SEARCH(DATOS!$A$7,G11)))</xm:f>
            <xm:f>DATOS!$A$7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3" operator="containsText" id="{86AF1477-F983-4F4F-BA55-678792DDBE39}">
            <xm:f>NOT(ISERROR(SEARCH(DATOS!$A$6,G11)))</xm:f>
            <xm:f>DATOS!$A$6</xm:f>
            <x14:dxf>
              <fill>
                <patternFill>
                  <bgColor rgb="FFFF0000"/>
                </patternFill>
              </fill>
            </x14:dxf>
          </x14:cfRule>
          <x14:cfRule type="containsText" priority="4" operator="containsText" id="{986808B1-5813-46D4-81B9-54E055EFF955}">
            <xm:f>NOT(ISERROR(SEARCH(DATOS!$A$5,G11)))</xm:f>
            <xm:f>DATOS!$A$5</xm:f>
            <x14:dxf>
              <fill>
                <patternFill>
                  <bgColor theme="6" tint="0.59996337778862885"/>
                </patternFill>
              </fill>
            </x14:dxf>
          </x14:cfRule>
          <x14:cfRule type="containsText" priority="5" operator="containsText" id="{DF6BD498-80F2-4769-97B1-45B5467EB725}">
            <xm:f>NOT(ISERROR(SEARCH(DATOS!$A$4,G11)))</xm:f>
            <xm:f>DATOS!$A$4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ontainsText" priority="6" operator="containsText" id="{727AF27E-A1F5-47F2-B587-F10170EEC023}">
            <xm:f>NOT(ISERROR(SEARCH(DATOS!$A$3,G11)))</xm:f>
            <xm:f>DATOS!$A$3</xm:f>
            <x14:dxf>
              <fill>
                <patternFill>
                  <bgColor theme="4" tint="0.59996337778862885"/>
                </patternFill>
              </fill>
            </x14:dxf>
          </x14:cfRule>
          <x14:cfRule type="containsText" priority="7" operator="containsText" id="{B6C7B3C0-5F83-49A5-9540-8BDF1DD6A15B}">
            <xm:f>NOT(ISERROR(SEARCH(DATOS!$A$2,G11)))</xm:f>
            <xm:f>DATOS!$A$2</xm:f>
            <x14:dxf>
              <fill>
                <patternFill>
                  <bgColor theme="3" tint="0.59996337778862885"/>
                </patternFill>
              </fill>
            </x14:dxf>
          </x14:cfRule>
          <xm:sqref>G11:G21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790B9D-5C81-423A-B04C-64E6D30EE9EE}">
          <x14:formula1>
            <xm:f>DATOS!$A$2:$A$8</xm:f>
          </x14:formula1>
          <xm:sqref>G11:G21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6"/>
  <sheetViews>
    <sheetView showGridLines="0" workbookViewId="0">
      <pane ySplit="4" topLeftCell="A5" activePane="bottomLeft" state="frozen"/>
      <selection pane="bottomLeft" activeCell="C13" sqref="C13"/>
    </sheetView>
  </sheetViews>
  <sheetFormatPr defaultColWidth="9.140625" defaultRowHeight="15"/>
  <cols>
    <col min="1" max="1" width="6" customWidth="1"/>
    <col min="2" max="2" width="18" customWidth="1"/>
    <col min="3" max="3" width="54.5703125" customWidth="1"/>
    <col min="4" max="4" width="16" customWidth="1"/>
    <col min="5" max="5" width="37.85546875" customWidth="1"/>
    <col min="6" max="6" width="41.140625" customWidth="1"/>
    <col min="7" max="7" width="14" customWidth="1"/>
    <col min="8" max="8" width="26.5703125" customWidth="1"/>
    <col min="9" max="9" width="38.5703125" customWidth="1"/>
    <col min="10" max="10" width="29.42578125" customWidth="1"/>
  </cols>
  <sheetData>
    <row r="1" spans="1:9">
      <c r="A1" s="86"/>
      <c r="B1" s="86"/>
      <c r="C1" s="86"/>
      <c r="D1" s="86"/>
      <c r="E1" s="86"/>
      <c r="F1" s="86"/>
      <c r="G1" s="86"/>
      <c r="H1" s="86"/>
      <c r="I1" s="86"/>
    </row>
    <row r="2" spans="1:9">
      <c r="A2" s="87" t="s">
        <v>61</v>
      </c>
      <c r="B2" s="87"/>
      <c r="C2" s="87"/>
      <c r="D2" s="87"/>
      <c r="E2" s="87"/>
      <c r="F2" s="87"/>
      <c r="G2" s="87"/>
      <c r="H2" s="87"/>
      <c r="I2" s="87"/>
    </row>
    <row r="3" spans="1:9">
      <c r="A3" s="86"/>
      <c r="B3" s="86"/>
      <c r="C3" s="86"/>
      <c r="D3" s="86"/>
      <c r="E3" s="86"/>
      <c r="F3" s="86"/>
      <c r="G3" s="86"/>
      <c r="H3" s="86"/>
      <c r="I3" s="86"/>
    </row>
    <row r="4" spans="1:9" ht="30" customHeight="1">
      <c r="A4" s="7" t="s">
        <v>2</v>
      </c>
      <c r="B4" s="7" t="s">
        <v>4</v>
      </c>
      <c r="C4" s="7" t="s">
        <v>62</v>
      </c>
      <c r="D4" s="7" t="s">
        <v>63</v>
      </c>
      <c r="E4" s="7" t="s">
        <v>6</v>
      </c>
      <c r="F4" s="7" t="s">
        <v>8</v>
      </c>
      <c r="G4" s="7" t="s">
        <v>12</v>
      </c>
      <c r="H4" s="7" t="s">
        <v>64</v>
      </c>
      <c r="I4" s="7" t="s">
        <v>65</v>
      </c>
    </row>
    <row r="5" spans="1:9" ht="21.95" customHeight="1">
      <c r="A5" s="79"/>
      <c r="B5" s="79"/>
      <c r="C5" s="79"/>
      <c r="D5" s="79"/>
      <c r="E5" s="79"/>
      <c r="F5" s="79"/>
      <c r="G5" s="79"/>
      <c r="H5" s="78"/>
    </row>
    <row r="6" spans="1:9" ht="21.95" customHeight="1">
      <c r="A6" s="9" t="str">
        <f>IFERROR(CONTACTOS!#REF!,"")</f>
        <v/>
      </c>
      <c r="B6" s="9" t="str">
        <f>IFERROR(CONTACTOS!#REF!,"")</f>
        <v/>
      </c>
      <c r="C6" s="9" t="str">
        <f>IFERROR(CONTACTOS!#REF!,"")</f>
        <v/>
      </c>
      <c r="D6" s="9" t="str">
        <f>IFERROR(CONTACTOS!#REF!,"")</f>
        <v/>
      </c>
      <c r="E6" s="9" t="str">
        <f>IFERROR(CONTACTOS!#REF!,"")</f>
        <v/>
      </c>
      <c r="F6" s="9" t="str">
        <f>IFERROR(CONTACTOS!#REF!,"")</f>
        <v/>
      </c>
      <c r="G6" s="9" t="str">
        <f>IFERROR(CONTACTOS!#REF!,"")</f>
        <v/>
      </c>
      <c r="H6" s="9"/>
      <c r="I6" s="10" t="str">
        <f>IFERROR(CONTACTOS!#REF!,"")</f>
        <v/>
      </c>
    </row>
  </sheetData>
  <mergeCells count="3">
    <mergeCell ref="A3:I3"/>
    <mergeCell ref="A2:I2"/>
    <mergeCell ref="A1:I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50"/>
  <sheetViews>
    <sheetView showGridLines="0" topLeftCell="A33" zoomScale="85" zoomScaleNormal="85" workbookViewId="0">
      <selection activeCell="A58" sqref="A58:XFD58"/>
    </sheetView>
  </sheetViews>
  <sheetFormatPr defaultColWidth="9.140625" defaultRowHeight="15"/>
  <cols>
    <col min="1" max="1" width="77.42578125" customWidth="1"/>
    <col min="2" max="2" width="18" customWidth="1"/>
    <col min="3" max="3" width="34" customWidth="1"/>
    <col min="4" max="4" width="48.85546875" customWidth="1"/>
    <col min="5" max="8" width="14" customWidth="1"/>
  </cols>
  <sheetData>
    <row r="1" spans="1:8" ht="21.95" customHeight="1">
      <c r="A1" s="86"/>
      <c r="B1" s="92"/>
      <c r="C1" s="92"/>
      <c r="D1" s="92"/>
      <c r="E1" s="92"/>
      <c r="F1" s="92"/>
      <c r="G1" s="92"/>
      <c r="H1" s="92"/>
    </row>
    <row r="2" spans="1:8" ht="21.95" customHeight="1">
      <c r="A2" s="87" t="s">
        <v>66</v>
      </c>
      <c r="B2" s="92"/>
      <c r="C2" s="92"/>
      <c r="D2" s="92"/>
      <c r="E2" s="92"/>
      <c r="F2" s="92"/>
      <c r="G2" s="92"/>
      <c r="H2" s="92"/>
    </row>
    <row r="3" spans="1:8" ht="21.95" customHeight="1">
      <c r="A3" s="86"/>
      <c r="B3" s="92"/>
      <c r="C3" s="92"/>
      <c r="D3" s="92"/>
      <c r="E3" s="92"/>
      <c r="F3" s="92"/>
      <c r="G3" s="92"/>
      <c r="H3" s="92"/>
    </row>
    <row r="4" spans="1:8" ht="18" customHeight="1"/>
    <row r="5" spans="1:8" ht="33.950000000000003" customHeight="1">
      <c r="A5" s="2" t="s">
        <v>67</v>
      </c>
      <c r="B5" s="3" t="s">
        <v>68</v>
      </c>
      <c r="C5" s="4" t="s">
        <v>69</v>
      </c>
      <c r="D5" s="5" t="s">
        <v>70</v>
      </c>
      <c r="E5" s="6" t="s">
        <v>71</v>
      </c>
      <c r="F5" s="42" t="s">
        <v>72</v>
      </c>
      <c r="G5" s="40" t="s">
        <v>73</v>
      </c>
      <c r="H5" s="44" t="s">
        <v>74</v>
      </c>
    </row>
    <row r="6" spans="1:8" ht="18" customHeight="1">
      <c r="A6" s="15">
        <f>COUNTA(Tabla2[Nombre Completo])</f>
        <v>11</v>
      </c>
      <c r="B6" s="17">
        <f>COUNTIF(Tabla2[[#All],[Status]],"Pendiente de admision / postergado ")</f>
        <v>0</v>
      </c>
      <c r="C6" s="19">
        <f>COUNTIF(Tabla2[[#All],[Status]],"Duda / Realizar Seguimiento")</f>
        <v>0</v>
      </c>
      <c r="D6" s="18">
        <f>COUNTIF(Tabla2[[#All],[Status]],"INTERESADO")</f>
        <v>11</v>
      </c>
      <c r="E6" s="16">
        <f>COUNTIF(Tabla2[[#All],[Status]],"ADMITIDO")</f>
        <v>0</v>
      </c>
      <c r="F6" s="43">
        <f>COUNTIF(Tabla2[[#All],[Status]],"EN ESPERA DE PATROCINIO")</f>
        <v>0</v>
      </c>
      <c r="G6" s="41">
        <f>COUNTIF(Tabla2[[#All],[Status]],"No interesado")</f>
        <v>0</v>
      </c>
      <c r="H6" s="45">
        <f>COUNTIF(Tabla2[[#All],[Status]],"CONTACTAR PARA SEGUIMIENTO")</f>
        <v>0</v>
      </c>
    </row>
    <row r="7" spans="1:8" ht="21.95" customHeight="1"/>
    <row r="8" spans="1:8" ht="21.95" customHeight="1">
      <c r="A8" s="11" t="s">
        <v>75</v>
      </c>
      <c r="B8" s="11" t="s">
        <v>76</v>
      </c>
      <c r="C8" s="11" t="s">
        <v>77</v>
      </c>
      <c r="D8" s="27" t="s">
        <v>78</v>
      </c>
    </row>
    <row r="9" spans="1:8" ht="21.95" customHeight="1">
      <c r="A9" s="81" t="s">
        <v>79</v>
      </c>
      <c r="B9" s="12">
        <f>COUNTIF(Tabla2[[#All],[Programa de Interés]],A9)</f>
        <v>0</v>
      </c>
      <c r="C9" s="13">
        <f>IFERROR(Tabla4[[#This Row],[CONTACTOS]]/SUM(Tabla4[CONTACTOS]),0)</f>
        <v>0</v>
      </c>
      <c r="D9" s="80" t="str">
        <f>VLOOKUP(Tabla4[[#This Row],[PROGRAMA]],PROGRAMAS!A4:C44,2,FALSE)</f>
        <v>Alexis Borges</v>
      </c>
    </row>
    <row r="10" spans="1:8" ht="21.95" customHeight="1">
      <c r="A10" s="81" t="s">
        <v>80</v>
      </c>
      <c r="B10" s="12">
        <f>COUNTIF(Tabla2[[#All],[Programa de Interés]],A10)</f>
        <v>0</v>
      </c>
      <c r="C10" s="13">
        <f>IFERROR(Tabla4[[#This Row],[CONTACTOS]]/SUM(Tabla4[CONTACTOS]),0)</f>
        <v>0</v>
      </c>
      <c r="D10" s="80" t="str">
        <f>VLOOKUP(Tabla4[[#This Row],[PROGRAMA]],PROGRAMAS!A5:C45,2,FALSE)</f>
        <v>Domingo Abreu</v>
      </c>
    </row>
    <row r="11" spans="1:8" ht="21.95" customHeight="1">
      <c r="A11" s="81" t="s">
        <v>81</v>
      </c>
      <c r="B11" s="12">
        <f>COUNTIF(Tabla2[[#All],[Programa de Interés]],A11)</f>
        <v>0</v>
      </c>
      <c r="C11" s="13">
        <f>IFERROR(Tabla4[[#This Row],[CONTACTOS]]/SUM(Tabla4[CONTACTOS]),0)</f>
        <v>0</v>
      </c>
      <c r="D11" s="80" t="str">
        <f>VLOOKUP(Tabla4[[#This Row],[PROGRAMA]],PROGRAMAS!A6:C45,2,FALSE)</f>
        <v>Inés de los Santos</v>
      </c>
    </row>
    <row r="12" spans="1:8" ht="21.95" customHeight="1">
      <c r="A12" s="81" t="s">
        <v>82</v>
      </c>
      <c r="B12" s="12">
        <f>COUNTIF(Tabla2[[#All],[Programa de Interés]],A12)</f>
        <v>0</v>
      </c>
      <c r="C12" s="13">
        <f>IFERROR(Tabla4[[#This Row],[CONTACTOS]]/SUM(Tabla4[CONTACTOS]),0)</f>
        <v>0</v>
      </c>
      <c r="D12" s="80" t="str">
        <f>VLOOKUP(Tabla4[[#This Row],[PROGRAMA]],PROGRAMAS!A7:C46,2,FALSE)</f>
        <v>Ana Estévez</v>
      </c>
    </row>
    <row r="13" spans="1:8" ht="21.95" customHeight="1">
      <c r="A13" s="81" t="s">
        <v>40</v>
      </c>
      <c r="B13" s="12">
        <f>COUNTIF(Tabla2[[#All],[Programa de Interés]],A13)</f>
        <v>1</v>
      </c>
      <c r="C13" s="13">
        <f>IFERROR(Tabla4[[#This Row],[CONTACTOS]]/SUM(Tabla4[CONTACTOS]),0)</f>
        <v>9.0909090909090912E-2</v>
      </c>
      <c r="D13" s="80" t="str">
        <f>VLOOKUP(Tabla4[[#This Row],[PROGRAMA]],PROGRAMAS!A8:C46,2,FALSE)</f>
        <v>Arlene Estévez</v>
      </c>
    </row>
    <row r="14" spans="1:8" ht="21.95" customHeight="1">
      <c r="A14" s="81" t="s">
        <v>83</v>
      </c>
      <c r="B14" s="12">
        <f>COUNTIF(Tabla2[[#All],[Programa de Interés]],A14)</f>
        <v>0</v>
      </c>
      <c r="C14" s="13">
        <f>IFERROR(Tabla4[[#This Row],[CONTACTOS]]/SUM(Tabla4[CONTACTOS]),0)</f>
        <v>0</v>
      </c>
      <c r="D14" s="80" t="str">
        <f>VLOOKUP(Tabla4[[#This Row],[PROGRAMA]],PROGRAMAS!A9:C47,2,FALSE)</f>
        <v>Florilena De Jesús Paredes</v>
      </c>
    </row>
    <row r="15" spans="1:8" ht="21.95" customHeight="1">
      <c r="A15" s="81" t="s">
        <v>24</v>
      </c>
      <c r="B15" s="12">
        <f>COUNTIF(Tabla2[[#All],[Programa de Interés]],A15)</f>
        <v>1</v>
      </c>
      <c r="C15" s="13">
        <f>IFERROR(Tabla4[[#This Row],[CONTACTOS]]/SUM(Tabla4[CONTACTOS]),0)</f>
        <v>9.0909090909090912E-2</v>
      </c>
      <c r="D15" s="80" t="str">
        <f>VLOOKUP(Tabla4[[#This Row],[PROGRAMA]],PROGRAMAS!A10:C48,2,FALSE)</f>
        <v>Michel Valdéz</v>
      </c>
    </row>
    <row r="16" spans="1:8" ht="21.95" customHeight="1">
      <c r="A16" s="81" t="s">
        <v>84</v>
      </c>
      <c r="B16" s="12">
        <f>COUNTIF(Tabla2[[#All],[Programa de Interés]],A16)</f>
        <v>0</v>
      </c>
      <c r="C16" s="13">
        <f>IFERROR(Tabla4[[#This Row],[CONTACTOS]]/SUM(Tabla4[CONTACTOS]),0)</f>
        <v>0</v>
      </c>
      <c r="D16" s="80" t="str">
        <f>VLOOKUP(Tabla4[[#This Row],[PROGRAMA]],PROGRAMAS!A11:C49,2,FALSE)</f>
        <v>Glorianny Báez</v>
      </c>
    </row>
    <row r="17" spans="1:4" ht="21.95" customHeight="1">
      <c r="A17" s="81" t="s">
        <v>85</v>
      </c>
      <c r="B17" s="12">
        <f>COUNTIF(Tabla2[[#All],[Programa de Interés]],A17)</f>
        <v>0</v>
      </c>
      <c r="C17" s="13">
        <f>IFERROR(Tabla4[[#This Row],[CONTACTOS]]/SUM(Tabla4[CONTACTOS]),0)</f>
        <v>0</v>
      </c>
      <c r="D17" s="80" t="str">
        <f>VLOOKUP(Tabla4[[#This Row],[PROGRAMA]],PROGRAMAS!A12:C50,2,FALSE)</f>
        <v>Michel Valdéz</v>
      </c>
    </row>
    <row r="18" spans="1:4" ht="21.95" customHeight="1">
      <c r="A18" s="81" t="s">
        <v>86</v>
      </c>
      <c r="B18" s="12">
        <f>COUNTIF(Tabla2[[#All],[Programa de Interés]],A18)</f>
        <v>0</v>
      </c>
      <c r="C18" s="13">
        <f>IFERROR(Tabla4[[#This Row],[CONTACTOS]]/SUM(Tabla4[CONTACTOS]),0)</f>
        <v>0</v>
      </c>
      <c r="D18" s="80" t="str">
        <f>VLOOKUP(Tabla4[[#This Row],[PROGRAMA]],PROGRAMAS!A13:C51,2,FALSE)</f>
        <v>Isabel Sánchez</v>
      </c>
    </row>
    <row r="19" spans="1:4" ht="21.95" customHeight="1">
      <c r="A19" s="81" t="s">
        <v>87</v>
      </c>
      <c r="B19" s="12">
        <f>COUNTIF(Tabla2[[#All],[Programa de Interés]],A19)</f>
        <v>0</v>
      </c>
      <c r="C19" s="13">
        <f>IFERROR(Tabla4[[#This Row],[CONTACTOS]]/SUM(Tabla4[CONTACTOS]),0)</f>
        <v>0</v>
      </c>
      <c r="D19" s="80" t="str">
        <f>VLOOKUP(Tabla4[[#This Row],[PROGRAMA]],PROGRAMAS!A14:C52,2,FALSE)</f>
        <v>Isabel Sánchez</v>
      </c>
    </row>
    <row r="20" spans="1:4" ht="21.95" customHeight="1">
      <c r="A20" s="81" t="s">
        <v>18</v>
      </c>
      <c r="B20" s="12">
        <f>COUNTIF(Tabla2[[#All],[Programa de Interés]],A20)</f>
        <v>1</v>
      </c>
      <c r="C20" s="13">
        <f>IFERROR(Tabla4[[#This Row],[CONTACTOS]]/SUM(Tabla4[CONTACTOS]),0)</f>
        <v>9.0909090909090912E-2</v>
      </c>
      <c r="D20" s="80" t="str">
        <f>VLOOKUP(Tabla4[[#This Row],[PROGRAMA]],PROGRAMAS!A15:C53,2,FALSE)</f>
        <v>Isabel Sánchez</v>
      </c>
    </row>
    <row r="21" spans="1:4" ht="21.95" customHeight="1">
      <c r="A21" s="81" t="s">
        <v>88</v>
      </c>
      <c r="B21" s="12">
        <f>COUNTIF(Tabla2[[#All],[Programa de Interés]],A21)</f>
        <v>0</v>
      </c>
      <c r="C21" s="13">
        <f>IFERROR(Tabla4[[#This Row],[CONTACTOS]]/SUM(Tabla4[CONTACTOS]),0)</f>
        <v>0</v>
      </c>
      <c r="D21" s="80" t="str">
        <f>VLOOKUP(Tabla4[[#This Row],[PROGRAMA]],PROGRAMAS!A15:C53,2,FALSE)</f>
        <v>Isabel Sánchez</v>
      </c>
    </row>
    <row r="22" spans="1:4" ht="21.95" customHeight="1">
      <c r="A22" s="81" t="s">
        <v>89</v>
      </c>
      <c r="B22" s="12">
        <f>COUNTIF(Tabla2[[#All],[Programa de Interés]],A22)</f>
        <v>0</v>
      </c>
      <c r="C22" s="13">
        <f>IFERROR(Tabla4[[#This Row],[CONTACTOS]]/SUM(Tabla4[CONTACTOS]),0)</f>
        <v>0</v>
      </c>
      <c r="D22" s="80" t="str">
        <f>VLOOKUP(Tabla4[[#This Row],[PROGRAMA]],PROGRAMAS!A16:C54,2,FALSE)</f>
        <v>Jaime Sued</v>
      </c>
    </row>
    <row r="23" spans="1:4" ht="21.95" customHeight="1">
      <c r="A23" s="81" t="s">
        <v>90</v>
      </c>
      <c r="B23" s="12">
        <f>COUNTIF(Tabla2[[#All],[Programa de Interés]],A23)</f>
        <v>0</v>
      </c>
      <c r="C23" s="13">
        <f>IFERROR(Tabla4[[#This Row],[CONTACTOS]]/SUM(Tabla4[CONTACTOS]),0)</f>
        <v>0</v>
      </c>
      <c r="D23" s="80" t="str">
        <f>VLOOKUP(Tabla4[[#This Row],[PROGRAMA]],PROGRAMAS!A17:C55,2,FALSE)</f>
        <v>Aimee Cuesta</v>
      </c>
    </row>
    <row r="24" spans="1:4" ht="21.95" customHeight="1">
      <c r="A24" s="81" t="s">
        <v>91</v>
      </c>
      <c r="B24" s="12">
        <f>COUNTIF(Tabla2[[#All],[Programa de Interés]],A24)</f>
        <v>0</v>
      </c>
      <c r="C24" s="13">
        <f>IFERROR(Tabla4[[#This Row],[CONTACTOS]]/SUM(Tabla4[CONTACTOS]),0)</f>
        <v>0</v>
      </c>
      <c r="D24" s="80" t="str">
        <f>VLOOKUP(Tabla4[[#This Row],[PROGRAMA]],PROGRAMAS!A18:C56,2,FALSE)</f>
        <v xml:space="preserve">Kenia Rodríguez / Luvian Corniel CSTI                                                                           </v>
      </c>
    </row>
    <row r="25" spans="1:4" ht="21.95" customHeight="1">
      <c r="A25" s="81" t="s">
        <v>92</v>
      </c>
      <c r="B25" s="12">
        <f>COUNTIF(Tabla2[[#All],[Programa de Interés]],A25)</f>
        <v>0</v>
      </c>
      <c r="C25" s="13">
        <f>IFERROR(Tabla4[[#This Row],[CONTACTOS]]/SUM(Tabla4[CONTACTOS]),0)</f>
        <v>0</v>
      </c>
      <c r="D25" s="80" t="str">
        <f>VLOOKUP(Tabla4[[#This Row],[PROGRAMA]],PROGRAMAS!A19:C57,2,FALSE)</f>
        <v>Nelson Orsini / Luvian Corniel</v>
      </c>
    </row>
    <row r="26" spans="1:4" ht="21.95" customHeight="1">
      <c r="A26" s="81" t="s">
        <v>60</v>
      </c>
      <c r="B26" s="12">
        <f>COUNTIF(Tabla2[[#All],[Programa de Interés]],A26)</f>
        <v>1</v>
      </c>
      <c r="C26" s="13">
        <f>IFERROR(Tabla4[[#This Row],[CONTACTOS]]/SUM(Tabla4[CONTACTOS]),0)</f>
        <v>9.0909090909090912E-2</v>
      </c>
      <c r="D26" s="80" t="str">
        <f>VLOOKUP(Tabla4[[#This Row],[PROGRAMA]],PROGRAMAS!A20:C58,2,FALSE)</f>
        <v>Zaida Jimenez /Luvian Corniel</v>
      </c>
    </row>
    <row r="27" spans="1:4" ht="21.95" customHeight="1">
      <c r="A27" s="81" t="s">
        <v>93</v>
      </c>
      <c r="B27" s="12">
        <f>COUNTIF(Tabla2[[#All],[Programa de Interés]],A27)</f>
        <v>0</v>
      </c>
      <c r="C27" s="13">
        <f>IFERROR(Tabla4[[#This Row],[CONTACTOS]]/SUM(Tabla4[CONTACTOS]),0)</f>
        <v>0</v>
      </c>
      <c r="D27" s="80" t="str">
        <f>VLOOKUP(Tabla4[[#This Row],[PROGRAMA]],PROGRAMAS!A21:C59,2,FALSE)</f>
        <v>Elba Estrella / Luvian Corniel</v>
      </c>
    </row>
    <row r="28" spans="1:4" ht="21.95" customHeight="1">
      <c r="A28" s="81" t="s">
        <v>94</v>
      </c>
      <c r="B28" s="12">
        <f>COUNTIF(Tabla2[[#All],[Programa de Interés]],A28)</f>
        <v>0</v>
      </c>
      <c r="C28" s="13">
        <f>IFERROR(Tabla4[[#This Row],[CONTACTOS]]/SUM(Tabla4[CONTACTOS]),0)</f>
        <v>0</v>
      </c>
      <c r="D28" s="80" t="str">
        <f>VLOOKUP(Tabla4[[#This Row],[PROGRAMA]],PROGRAMAS!A22:C60,2,FALSE)</f>
        <v>Jesús Ramírez</v>
      </c>
    </row>
    <row r="29" spans="1:4" ht="21.95" customHeight="1">
      <c r="A29" s="81" t="s">
        <v>47</v>
      </c>
      <c r="B29" s="12">
        <f>COUNTIF(Tabla2[[#All],[Programa de Interés]],A29)</f>
        <v>1</v>
      </c>
      <c r="C29" s="13">
        <f>IFERROR(Tabla4[[#This Row],[CONTACTOS]]/SUM(Tabla4[CONTACTOS]),0)</f>
        <v>9.0909090909090912E-2</v>
      </c>
      <c r="D29" s="80" t="str">
        <f>VLOOKUP(Tabla4[[#This Row],[PROGRAMA]],PROGRAMAS!A23:C61,2,FALSE)</f>
        <v>Luis Germosén / Edwin Hernández CSTI / Julián Mena CSD</v>
      </c>
    </row>
    <row r="30" spans="1:4" ht="21.95" customHeight="1">
      <c r="A30" s="81" t="s">
        <v>95</v>
      </c>
      <c r="B30" s="12">
        <f>COUNTIF(Tabla2[[#All],[Programa de Interés]],A30)</f>
        <v>0</v>
      </c>
      <c r="C30" s="13">
        <f>IFERROR(Tabla4[[#This Row],[CONTACTOS]]/SUM(Tabla4[CONTACTOS]),0)</f>
        <v>0</v>
      </c>
      <c r="D30" s="80" t="str">
        <f>VLOOKUP(Tabla4[[#This Row],[PROGRAMA]],PROGRAMAS!A24:C62,2,FALSE)</f>
        <v>Magdalena Durán</v>
      </c>
    </row>
    <row r="31" spans="1:4" ht="21.95" customHeight="1">
      <c r="A31" s="81" t="s">
        <v>32</v>
      </c>
      <c r="B31" s="12">
        <f>COUNTIF(Tabla2[[#All],[Programa de Interés]],A31)</f>
        <v>1</v>
      </c>
      <c r="C31" s="13">
        <f>IFERROR(Tabla4[[#This Row],[CONTACTOS]]/SUM(Tabla4[CONTACTOS]),0)</f>
        <v>9.0909090909090912E-2</v>
      </c>
      <c r="D31" s="80" t="str">
        <f>VLOOKUP(Tabla4[[#This Row],[PROGRAMA]],PROGRAMAS!A25:C63,2,FALSE)</f>
        <v>Marcela Mirabal</v>
      </c>
    </row>
    <row r="32" spans="1:4" ht="21.95" customHeight="1">
      <c r="A32" s="81" t="s">
        <v>36</v>
      </c>
      <c r="B32" s="12">
        <f>COUNTIF(Tabla2[[#All],[Programa de Interés]],A32)</f>
        <v>1</v>
      </c>
      <c r="C32" s="13">
        <f>IFERROR(Tabla4[[#This Row],[CONTACTOS]]/SUM(Tabla4[CONTACTOS]),0)</f>
        <v>9.0909090909090912E-2</v>
      </c>
      <c r="D32" s="80" t="str">
        <f>VLOOKUP(Tabla4[[#This Row],[PROGRAMA]],PROGRAMAS!A26:C64,2,FALSE)</f>
        <v>Maribel Justo</v>
      </c>
    </row>
    <row r="33" spans="1:4" ht="21.95" customHeight="1">
      <c r="A33" s="81" t="s">
        <v>96</v>
      </c>
      <c r="B33" s="12">
        <f>COUNTIF(Tabla2[[#All],[Programa de Interés]],A33)</f>
        <v>0</v>
      </c>
      <c r="C33" s="13">
        <f>IFERROR(Tabla4[[#This Row],[CONTACTOS]]/SUM(Tabla4[CONTACTOS]),0)</f>
        <v>0</v>
      </c>
      <c r="D33" s="80" t="str">
        <f>VLOOKUP(Tabla4[[#This Row],[PROGRAMA]],PROGRAMAS!A27:C65,2,FALSE)</f>
        <v>Pascal Peña</v>
      </c>
    </row>
    <row r="34" spans="1:4" ht="21.95" customHeight="1">
      <c r="A34" s="81" t="s">
        <v>97</v>
      </c>
      <c r="B34" s="12">
        <f>COUNTIF(Tabla2[[#All],[Programa de Interés]],A34)</f>
        <v>0</v>
      </c>
      <c r="C34" s="13">
        <f>IFERROR(Tabla4[[#This Row],[CONTACTOS]]/SUM(Tabla4[CONTACTOS]),0)</f>
        <v>0</v>
      </c>
      <c r="D34" s="80" t="str">
        <f>VLOOKUP(Tabla4[[#This Row],[PROGRAMA]],PROGRAMAS!A28:C66,2,FALSE)</f>
        <v>Miguelina Ureña</v>
      </c>
    </row>
    <row r="35" spans="1:4" ht="21.95" customHeight="1">
      <c r="A35" s="81" t="s">
        <v>98</v>
      </c>
      <c r="B35" s="12">
        <f>COUNTIF(Tabla2[[#All],[Programa de Interés]],A35)</f>
        <v>0</v>
      </c>
      <c r="C35" s="13">
        <f>IFERROR(Tabla4[[#This Row],[CONTACTOS]]/SUM(Tabla4[CONTACTOS]),0)</f>
        <v>0</v>
      </c>
      <c r="D35" s="80" t="str">
        <f>VLOOKUP(Tabla4[[#This Row],[PROGRAMA]],PROGRAMAS!A29:C67,2,FALSE)</f>
        <v>Miguelina Ureña - CSTI / Pascal Peña - CSD</v>
      </c>
    </row>
    <row r="36" spans="1:4" ht="21.95" customHeight="1">
      <c r="A36" s="81" t="s">
        <v>99</v>
      </c>
      <c r="B36" s="12">
        <f>COUNTIF(Tabla2[[#All],[Programa de Interés]],A36)</f>
        <v>0</v>
      </c>
      <c r="C36" s="13">
        <f>IFERROR(Tabla4[[#This Row],[CONTACTOS]]/SUM(Tabla4[CONTACTOS]),0)</f>
        <v>0</v>
      </c>
      <c r="D36" s="80" t="str">
        <f>VLOOKUP(Tabla4[[#This Row],[PROGRAMA]],PROGRAMAS!A30:C68,2,FALSE)</f>
        <v>Miguelina Ureña - CSTI / Pascal Peña - CSD</v>
      </c>
    </row>
    <row r="37" spans="1:4" ht="21.95" customHeight="1">
      <c r="A37" s="81" t="s">
        <v>28</v>
      </c>
      <c r="B37" s="12">
        <f>COUNTIF(Tabla2[[#All],[Programa de Interés]],A37)</f>
        <v>2</v>
      </c>
      <c r="C37" s="13">
        <f>IFERROR(Tabla4[[#This Row],[CONTACTOS]]/SUM(Tabla4[CONTACTOS]),0)</f>
        <v>0.18181818181818182</v>
      </c>
      <c r="D37" s="80" t="str">
        <f>VLOOKUP(Tabla4[[#This Row],[PROGRAMA]],PROGRAMAS!A31:C69,2,FALSE)</f>
        <v>Miguelina Ureña</v>
      </c>
    </row>
    <row r="38" spans="1:4" ht="21.95" customHeight="1">
      <c r="A38" s="81" t="s">
        <v>100</v>
      </c>
      <c r="B38" s="12">
        <f>COUNTIF(Tabla2[[#All],[Programa de Interés]],A38)</f>
        <v>0</v>
      </c>
      <c r="C38" s="13">
        <f>IFERROR(Tabla4[[#This Row],[CONTACTOS]]/SUM(Tabla4[CONTACTOS]),0)</f>
        <v>0</v>
      </c>
      <c r="D38" s="80" t="str">
        <f>VLOOKUP(Tabla4[[#This Row],[PROGRAMA]],PROGRAMAS!A32:C70,2,FALSE)</f>
        <v>Pascal Peña</v>
      </c>
    </row>
    <row r="39" spans="1:4" ht="21.95" customHeight="1">
      <c r="A39" s="81" t="s">
        <v>101</v>
      </c>
      <c r="B39" s="12">
        <f>COUNTIF(Tabla2[[#All],[Programa de Interés]],A39)</f>
        <v>0</v>
      </c>
      <c r="C39" s="13">
        <f>IFERROR(Tabla4[[#This Row],[CONTACTOS]]/SUM(Tabla4[CONTACTOS]),0)</f>
        <v>0</v>
      </c>
      <c r="D39" s="80" t="str">
        <f>VLOOKUP(Tabla4[[#This Row],[PROGRAMA]],PROGRAMAS!A33:C71,2,FALSE)</f>
        <v>Miguelina Ureña - CSTI/ Pascal Peña - CSD</v>
      </c>
    </row>
    <row r="40" spans="1:4">
      <c r="A40" s="81" t="s">
        <v>102</v>
      </c>
      <c r="B40" s="12">
        <f>COUNTIF(Tabla2[[#All],[Programa de Interés]],A40)</f>
        <v>0</v>
      </c>
      <c r="C40" s="13">
        <f>IFERROR(Tabla4[[#This Row],[CONTACTOS]]/SUM(Tabla4[CONTACTOS]),0)</f>
        <v>0</v>
      </c>
      <c r="D40" s="80" t="str">
        <f>VLOOKUP(Tabla4[[#This Row],[PROGRAMA]],PROGRAMAS!A34:C72,2,FALSE)</f>
        <v>Natalia Concepción -CSTI / Isabel Sánchez -CSD</v>
      </c>
    </row>
    <row r="41" spans="1:4">
      <c r="A41" s="81" t="s">
        <v>52</v>
      </c>
      <c r="B41" s="12">
        <f>COUNTIF(Tabla2[[#All],[Programa de Interés]],A41)</f>
        <v>1</v>
      </c>
      <c r="C41" s="13">
        <f>IFERROR(Tabla4[[#This Row],[CONTACTOS]]/SUM(Tabla4[CONTACTOS]),0)</f>
        <v>9.0909090909090912E-2</v>
      </c>
      <c r="D41" s="80" t="str">
        <f>VLOOKUP(Tabla4[[#This Row],[PROGRAMA]],PROGRAMAS!A35:C73,2,FALSE)</f>
        <v>Natalia Concepción -CSTI / Isabel Sánchez -CSD</v>
      </c>
    </row>
    <row r="42" spans="1:4">
      <c r="A42" s="81" t="s">
        <v>103</v>
      </c>
      <c r="B42" s="12">
        <f>COUNTIF(Tabla2[[#All],[Programa de Interés]],A42)</f>
        <v>0</v>
      </c>
      <c r="C42" s="13">
        <f>IFERROR(Tabla4[[#This Row],[CONTACTOS]]/SUM(Tabla4[CONTACTOS]),0)</f>
        <v>0</v>
      </c>
      <c r="D42" s="80" t="str">
        <f>VLOOKUP(Tabla4[[#This Row],[PROGRAMA]],PROGRAMAS!A36:C74,2,FALSE)</f>
        <v>Natalia Concepción -CSTI / Isabel Sánchez -CSD</v>
      </c>
    </row>
    <row r="43" spans="1:4">
      <c r="A43" s="81" t="s">
        <v>56</v>
      </c>
      <c r="B43" s="12">
        <f>COUNTIF(Tabla2[[#All],[Programa de Interés]],A43)</f>
        <v>1</v>
      </c>
      <c r="C43" s="13">
        <f>IFERROR(Tabla4[[#This Row],[CONTACTOS]]/SUM(Tabla4[CONTACTOS]),0)</f>
        <v>9.0909090909090912E-2</v>
      </c>
      <c r="D43" s="80" t="str">
        <f>VLOOKUP(Tabla4[[#This Row],[PROGRAMA]],PROGRAMAS!A37:C75,2,FALSE)</f>
        <v>Sor Salcedo</v>
      </c>
    </row>
    <row r="44" spans="1:4">
      <c r="A44" s="81" t="s">
        <v>104</v>
      </c>
      <c r="B44" s="12">
        <f>COUNTIF(Tabla2[[#All],[Programa de Interés]],A44)</f>
        <v>0</v>
      </c>
      <c r="C44" s="13">
        <f>IFERROR(Tabla4[[#This Row],[CONTACTOS]]/SUM(Tabla4[CONTACTOS]),0)</f>
        <v>0</v>
      </c>
      <c r="D44" s="80" t="str">
        <f>VLOOKUP(Tabla4[[#This Row],[PROGRAMA]],PROGRAMAS!A38:C76,2,FALSE)</f>
        <v>Ver con Pedro Reyes</v>
      </c>
    </row>
    <row r="45" spans="1:4">
      <c r="A45" s="81" t="s">
        <v>105</v>
      </c>
      <c r="B45" s="12">
        <f>COUNTIF(Tabla2[[#All],[Programa de Interés]],A45)</f>
        <v>0</v>
      </c>
      <c r="C45" s="13">
        <f>IFERROR(Tabla4[[#This Row],[CONTACTOS]]/SUM(Tabla4[CONTACTOS]),0)</f>
        <v>0</v>
      </c>
      <c r="D45" s="80" t="str">
        <f>VLOOKUP(Tabla4[[#This Row],[PROGRAMA]],PROGRAMAS!A39:C77,2,FALSE)</f>
        <v>Yahaira Josefina Sánchez</v>
      </c>
    </row>
    <row r="46" spans="1:4">
      <c r="A46" s="81" t="s">
        <v>106</v>
      </c>
      <c r="B46" s="12">
        <f>COUNTIF(Tabla2[[#All],[Programa de Interés]],A46)</f>
        <v>0</v>
      </c>
      <c r="C46" s="13">
        <f>IFERROR(Tabla4[[#This Row],[CONTACTOS]]/SUM(Tabla4[CONTACTOS]),0)</f>
        <v>0</v>
      </c>
      <c r="D46" s="80" t="str">
        <f>VLOOKUP(Tabla4[[#This Row],[PROGRAMA]],PROGRAMAS!A40:C78,2,FALSE)</f>
        <v>Mukien Sang</v>
      </c>
    </row>
    <row r="47" spans="1:4">
      <c r="A47" s="81" t="s">
        <v>107</v>
      </c>
      <c r="B47" s="12">
        <f>COUNTIF(Tabla2[[#All],[Programa de Interés]],A47)</f>
        <v>0</v>
      </c>
      <c r="C47" s="13">
        <f>IFERROR(Tabla4[[#This Row],[CONTACTOS]]/SUM(Tabla4[CONTACTOS]),0)</f>
        <v>0</v>
      </c>
      <c r="D47" s="80" t="str">
        <f>VLOOKUP(Tabla4[[#This Row],[PROGRAMA]],PROGRAMAS!A41:C79,2,FALSE)</f>
        <v>Miguelina Ureña</v>
      </c>
    </row>
    <row r="48" spans="1:4">
      <c r="A48" s="81" t="s">
        <v>108</v>
      </c>
      <c r="B48" s="12">
        <f>COUNTIF(Tabla2[[#All],[Programa de Interés]],A48)</f>
        <v>0</v>
      </c>
      <c r="C48" s="13">
        <f>IFERROR(Tabla4[[#This Row],[CONTACTOS]]/SUM(Tabla4[CONTACTOS]),0)</f>
        <v>0</v>
      </c>
      <c r="D48" s="80" t="str">
        <f>VLOOKUP(Tabla4[[#This Row],[PROGRAMA]],PROGRAMAS!A42:C80,2,FALSE)</f>
        <v>Stephanie Pou</v>
      </c>
    </row>
    <row r="49" spans="1:4">
      <c r="B49" s="30"/>
      <c r="C49" s="31"/>
      <c r="D49" s="29"/>
    </row>
    <row r="50" spans="1:4">
      <c r="A50" s="26" t="s">
        <v>109</v>
      </c>
      <c r="B50" s="34">
        <f>SUM(B9:B48)</f>
        <v>11</v>
      </c>
      <c r="C50" s="35">
        <f>SUM(C9:C48)</f>
        <v>1.0000000000000002</v>
      </c>
    </row>
  </sheetData>
  <mergeCells count="3">
    <mergeCell ref="A1:H1"/>
    <mergeCell ref="A3:H3"/>
    <mergeCell ref="A2:H2"/>
  </mergeCells>
  <phoneticPr fontId="14" type="noConversion"/>
  <pageMargins left="0.75" right="0.75" top="1" bottom="1" header="0.5" footer="0.5"/>
  <ignoredErrors>
    <ignoredError sqref="C21:C46 C48 C10:C19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45"/>
  <sheetViews>
    <sheetView showGridLines="0" topLeftCell="A8" zoomScale="85" zoomScaleNormal="85" workbookViewId="0">
      <selection activeCell="A17" sqref="A17"/>
    </sheetView>
  </sheetViews>
  <sheetFormatPr defaultColWidth="9.140625" defaultRowHeight="15"/>
  <cols>
    <col min="1" max="1" width="106.42578125" customWidth="1"/>
    <col min="2" max="2" width="46.7109375" customWidth="1"/>
    <col min="3" max="3" width="45.140625" customWidth="1"/>
    <col min="4" max="4" width="15.28515625" customWidth="1"/>
    <col min="7" max="7" width="68.5703125" customWidth="1"/>
    <col min="8" max="8" width="15.5703125" customWidth="1"/>
    <col min="11" max="11" width="40.85546875" customWidth="1"/>
  </cols>
  <sheetData>
    <row r="1" spans="1:3">
      <c r="A1" s="88" t="s">
        <v>110</v>
      </c>
      <c r="B1" s="88"/>
      <c r="C1" s="88"/>
    </row>
    <row r="2" spans="1:3" ht="15" customHeight="1">
      <c r="A2" s="88"/>
      <c r="B2" s="88"/>
      <c r="C2" s="88"/>
    </row>
    <row r="3" spans="1:3">
      <c r="A3" s="89"/>
      <c r="B3" s="89"/>
      <c r="C3" s="89"/>
    </row>
    <row r="4" spans="1:3" ht="30" customHeight="1">
      <c r="A4" s="28" t="s">
        <v>62</v>
      </c>
      <c r="B4" s="28" t="s">
        <v>111</v>
      </c>
      <c r="C4" s="28" t="s">
        <v>112</v>
      </c>
    </row>
    <row r="5" spans="1:3" ht="24" customHeight="1">
      <c r="A5" s="73" t="s">
        <v>79</v>
      </c>
      <c r="B5" s="51" t="s">
        <v>113</v>
      </c>
      <c r="C5" s="52">
        <f>COUNTIF(Tabla2[[#All],[Programa de Interés]],A5)</f>
        <v>0</v>
      </c>
    </row>
    <row r="6" spans="1:3" ht="24" customHeight="1">
      <c r="A6" s="73" t="s">
        <v>80</v>
      </c>
      <c r="B6" s="53" t="s">
        <v>114</v>
      </c>
      <c r="C6" s="52">
        <f>COUNTIF(Tabla2[[#All],[Programa de Interés]],A6)</f>
        <v>0</v>
      </c>
    </row>
    <row r="7" spans="1:3" ht="24" customHeight="1">
      <c r="A7" s="73" t="s">
        <v>81</v>
      </c>
      <c r="B7" s="53" t="s">
        <v>115</v>
      </c>
      <c r="C7" s="52">
        <f>COUNTIF(Tabla2[[#All],[Programa de Interés]],A7)</f>
        <v>0</v>
      </c>
    </row>
    <row r="8" spans="1:3" ht="24" customHeight="1">
      <c r="A8" s="73" t="s">
        <v>82</v>
      </c>
      <c r="B8" s="53" t="s">
        <v>116</v>
      </c>
      <c r="C8" s="52">
        <f>COUNTIF(Tabla2[[#All],[Programa de Interés]],A8)</f>
        <v>0</v>
      </c>
    </row>
    <row r="9" spans="1:3" ht="24" customHeight="1">
      <c r="A9" s="73" t="s">
        <v>40</v>
      </c>
      <c r="B9" s="53" t="s">
        <v>117</v>
      </c>
      <c r="C9" s="52">
        <f>COUNTIF(Tabla2[[#All],[Programa de Interés]],A9)</f>
        <v>1</v>
      </c>
    </row>
    <row r="10" spans="1:3" ht="24" customHeight="1">
      <c r="A10" s="73" t="s">
        <v>83</v>
      </c>
      <c r="B10" s="53" t="s">
        <v>118</v>
      </c>
      <c r="C10" s="52">
        <f>COUNTIF(Tabla2[[#All],[Programa de Interés]],A10)</f>
        <v>0</v>
      </c>
    </row>
    <row r="11" spans="1:3" ht="24" customHeight="1">
      <c r="A11" s="73" t="s">
        <v>24</v>
      </c>
      <c r="B11" s="53" t="s">
        <v>119</v>
      </c>
      <c r="C11" s="52">
        <f>COUNTIF(Tabla2[[#All],[Programa de Interés]],A11)</f>
        <v>1</v>
      </c>
    </row>
    <row r="12" spans="1:3" ht="24" customHeight="1">
      <c r="A12" s="73" t="s">
        <v>84</v>
      </c>
      <c r="B12" s="53" t="s">
        <v>120</v>
      </c>
      <c r="C12" s="52">
        <f>COUNTIF(Tabla2[[#All],[Programa de Interés]],A12)</f>
        <v>0</v>
      </c>
    </row>
    <row r="13" spans="1:3" ht="24" customHeight="1">
      <c r="A13" s="73" t="s">
        <v>85</v>
      </c>
      <c r="B13" s="53" t="s">
        <v>119</v>
      </c>
      <c r="C13" s="52">
        <f>COUNTIF(Tabla2[[#All],[Programa de Interés]],A13)</f>
        <v>0</v>
      </c>
    </row>
    <row r="14" spans="1:3" ht="24" customHeight="1">
      <c r="A14" s="73" t="s">
        <v>86</v>
      </c>
      <c r="B14" s="53" t="s">
        <v>121</v>
      </c>
      <c r="C14" s="52">
        <f>COUNTIF(Tabla2[[#All],[Programa de Interés]],A14)</f>
        <v>0</v>
      </c>
    </row>
    <row r="15" spans="1:3" ht="24" customHeight="1">
      <c r="A15" s="73" t="s">
        <v>87</v>
      </c>
      <c r="B15" s="53" t="s">
        <v>121</v>
      </c>
      <c r="C15" s="52">
        <f>COUNTIF(Tabla2[[#All],[Programa de Interés]],A15)</f>
        <v>0</v>
      </c>
    </row>
    <row r="16" spans="1:3" ht="24" customHeight="1">
      <c r="A16" s="73" t="s">
        <v>18</v>
      </c>
      <c r="B16" s="53" t="s">
        <v>121</v>
      </c>
      <c r="C16" s="52">
        <f>COUNTIF(Tabla2[[#All],[Programa de Interés]],A16)</f>
        <v>1</v>
      </c>
    </row>
    <row r="17" spans="1:3" ht="24" customHeight="1">
      <c r="A17" s="73" t="s">
        <v>88</v>
      </c>
      <c r="B17" s="53" t="s">
        <v>121</v>
      </c>
      <c r="C17" s="52">
        <f>COUNTIF(Tabla2[[#All],[Programa de Interés]],A17)</f>
        <v>0</v>
      </c>
    </row>
    <row r="18" spans="1:3" ht="24" customHeight="1">
      <c r="A18" s="73" t="s">
        <v>89</v>
      </c>
      <c r="B18" s="53" t="s">
        <v>122</v>
      </c>
      <c r="C18" s="52">
        <f>COUNTIF(Tabla2[[#All],[Programa de Interés]],A18)</f>
        <v>0</v>
      </c>
    </row>
    <row r="19" spans="1:3" ht="24" customHeight="1">
      <c r="A19" s="73" t="s">
        <v>90</v>
      </c>
      <c r="B19" s="53" t="s">
        <v>123</v>
      </c>
      <c r="C19" s="52">
        <f>COUNTIF(Tabla2[[#All],[Programa de Interés]],A19)</f>
        <v>0</v>
      </c>
    </row>
    <row r="20" spans="1:3" ht="24" customHeight="1">
      <c r="A20" s="73" t="s">
        <v>91</v>
      </c>
      <c r="B20" s="53" t="s">
        <v>124</v>
      </c>
      <c r="C20" s="52">
        <f>COUNTIF(Tabla2[[#All],[Programa de Interés]],A20)</f>
        <v>0</v>
      </c>
    </row>
    <row r="21" spans="1:3" ht="24" customHeight="1">
      <c r="A21" s="73" t="s">
        <v>92</v>
      </c>
      <c r="B21" s="53" t="s">
        <v>125</v>
      </c>
      <c r="C21" s="52">
        <f>COUNTIF(Tabla2[[#All],[Programa de Interés]],A21)</f>
        <v>0</v>
      </c>
    </row>
    <row r="22" spans="1:3" ht="24" customHeight="1">
      <c r="A22" s="73" t="s">
        <v>60</v>
      </c>
      <c r="B22" s="53" t="s">
        <v>126</v>
      </c>
      <c r="C22" s="52">
        <f>COUNTIF(Tabla2[[#All],[Programa de Interés]],A22)</f>
        <v>1</v>
      </c>
    </row>
    <row r="23" spans="1:3" ht="24" customHeight="1">
      <c r="A23" s="73" t="s">
        <v>93</v>
      </c>
      <c r="B23" s="53" t="s">
        <v>127</v>
      </c>
      <c r="C23" s="52">
        <f>COUNTIF(Tabla2[[#All],[Programa de Interés]],A23)</f>
        <v>0</v>
      </c>
    </row>
    <row r="24" spans="1:3" ht="24" customHeight="1">
      <c r="A24" s="73" t="s">
        <v>94</v>
      </c>
      <c r="B24" s="53" t="s">
        <v>128</v>
      </c>
      <c r="C24" s="52">
        <f>COUNTIF(Tabla2[[#All],[Programa de Interés]],A24)</f>
        <v>0</v>
      </c>
    </row>
    <row r="25" spans="1:3" ht="24" customHeight="1">
      <c r="A25" s="73" t="s">
        <v>47</v>
      </c>
      <c r="B25" s="53" t="s">
        <v>129</v>
      </c>
      <c r="C25" s="52">
        <f>COUNTIF(Tabla2[[#All],[Programa de Interés]],A25)</f>
        <v>1</v>
      </c>
    </row>
    <row r="26" spans="1:3" ht="24" customHeight="1">
      <c r="A26" s="73" t="s">
        <v>95</v>
      </c>
      <c r="B26" s="53" t="s">
        <v>130</v>
      </c>
      <c r="C26" s="52">
        <f>COUNTIF(Tabla2[[#All],[Programa de Interés]],A26)</f>
        <v>0</v>
      </c>
    </row>
    <row r="27" spans="1:3" ht="24" customHeight="1">
      <c r="A27" s="73" t="s">
        <v>32</v>
      </c>
      <c r="B27" s="53" t="s">
        <v>131</v>
      </c>
      <c r="C27" s="52">
        <f>COUNTIF(Tabla2[[#All],[Programa de Interés]],A27)</f>
        <v>1</v>
      </c>
    </row>
    <row r="28" spans="1:3" ht="24" customHeight="1">
      <c r="A28" s="73" t="s">
        <v>36</v>
      </c>
      <c r="B28" s="53" t="s">
        <v>132</v>
      </c>
      <c r="C28" s="52">
        <f>COUNTIF(Tabla2[[#All],[Programa de Interés]],A28)</f>
        <v>1</v>
      </c>
    </row>
    <row r="29" spans="1:3" ht="24" customHeight="1">
      <c r="A29" s="73" t="s">
        <v>96</v>
      </c>
      <c r="B29" s="53" t="s">
        <v>133</v>
      </c>
      <c r="C29" s="52">
        <f>COUNTIF(Tabla2[[#All],[Programa de Interés]],A29)</f>
        <v>0</v>
      </c>
    </row>
    <row r="30" spans="1:3" ht="26.1" customHeight="1">
      <c r="A30" s="73" t="s">
        <v>97</v>
      </c>
      <c r="B30" s="53" t="s">
        <v>134</v>
      </c>
      <c r="C30" s="52">
        <f>COUNTIF(Tabla2[[#All],[Programa de Interés]],A30)</f>
        <v>0</v>
      </c>
    </row>
    <row r="31" spans="1:3">
      <c r="A31" s="73" t="s">
        <v>98</v>
      </c>
      <c r="B31" s="53" t="s">
        <v>135</v>
      </c>
      <c r="C31" s="52">
        <f>COUNTIF(Tabla2[[#All],[Programa de Interés]],A31)</f>
        <v>0</v>
      </c>
    </row>
    <row r="32" spans="1:3" ht="15" customHeight="1">
      <c r="A32" s="73" t="s">
        <v>99</v>
      </c>
      <c r="B32" s="53" t="s">
        <v>135</v>
      </c>
      <c r="C32" s="52">
        <f>COUNTIF(Tabla2[[#All],[Programa de Interés]],A32)</f>
        <v>0</v>
      </c>
    </row>
    <row r="33" spans="1:4">
      <c r="A33" s="73" t="s">
        <v>28</v>
      </c>
      <c r="B33" s="53" t="s">
        <v>134</v>
      </c>
      <c r="C33" s="52">
        <f>COUNTIF(Tabla2[[#All],[Programa de Interés]],A33)</f>
        <v>2</v>
      </c>
    </row>
    <row r="34" spans="1:4">
      <c r="A34" s="73" t="s">
        <v>100</v>
      </c>
      <c r="B34" s="53" t="s">
        <v>133</v>
      </c>
      <c r="C34" s="52">
        <f>COUNTIF(Tabla2[[#All],[Programa de Interés]],A34)</f>
        <v>0</v>
      </c>
    </row>
    <row r="35" spans="1:4">
      <c r="A35" s="73" t="s">
        <v>101</v>
      </c>
      <c r="B35" s="53" t="s">
        <v>136</v>
      </c>
      <c r="C35" s="52">
        <f>COUNTIF(Tabla2[[#All],[Programa de Interés]],A35)</f>
        <v>0</v>
      </c>
    </row>
    <row r="36" spans="1:4">
      <c r="A36" s="73" t="s">
        <v>102</v>
      </c>
      <c r="B36" s="53" t="s">
        <v>137</v>
      </c>
      <c r="C36" s="52">
        <f>COUNTIF(Tabla2[[#All],[Programa de Interés]],A36)</f>
        <v>0</v>
      </c>
    </row>
    <row r="37" spans="1:4">
      <c r="A37" s="73" t="s">
        <v>52</v>
      </c>
      <c r="B37" s="53" t="s">
        <v>137</v>
      </c>
      <c r="C37" s="52">
        <f>COUNTIF(Tabla2[[#All],[Programa de Interés]],A37)</f>
        <v>1</v>
      </c>
    </row>
    <row r="38" spans="1:4">
      <c r="A38" s="73" t="s">
        <v>103</v>
      </c>
      <c r="B38" s="53" t="s">
        <v>137</v>
      </c>
      <c r="C38" s="52">
        <f>COUNTIF(Tabla2[[#All],[Programa de Interés]],A38)</f>
        <v>0</v>
      </c>
    </row>
    <row r="39" spans="1:4">
      <c r="A39" s="73" t="s">
        <v>56</v>
      </c>
      <c r="B39" s="53" t="s">
        <v>138</v>
      </c>
      <c r="C39" s="52">
        <f>COUNTIF(Tabla2[[#All],[Programa de Interés]],A39)</f>
        <v>1</v>
      </c>
    </row>
    <row r="40" spans="1:4">
      <c r="A40" s="73" t="s">
        <v>104</v>
      </c>
      <c r="B40" s="53" t="s">
        <v>139</v>
      </c>
      <c r="C40" s="52">
        <f>COUNTIF(Tabla2[[#All],[Programa de Interés]],A40)</f>
        <v>0</v>
      </c>
    </row>
    <row r="41" spans="1:4">
      <c r="A41" s="73" t="s">
        <v>105</v>
      </c>
      <c r="B41" s="53" t="s">
        <v>140</v>
      </c>
      <c r="C41" s="52">
        <f>COUNTIF(Tabla2[[#All],[Programa de Interés]],A41)</f>
        <v>0</v>
      </c>
    </row>
    <row r="42" spans="1:4">
      <c r="A42" s="73" t="s">
        <v>106</v>
      </c>
      <c r="B42" s="53" t="s">
        <v>141</v>
      </c>
      <c r="C42" s="52">
        <f>COUNTIF(Tabla2[[#All],[Programa de Interés]],A42)</f>
        <v>0</v>
      </c>
    </row>
    <row r="43" spans="1:4">
      <c r="A43" s="73" t="s">
        <v>107</v>
      </c>
      <c r="B43" s="53" t="s">
        <v>134</v>
      </c>
      <c r="C43" s="52">
        <f>COUNTIF(Tabla2[[#All],[Programa de Interés]],A43)</f>
        <v>0</v>
      </c>
    </row>
    <row r="44" spans="1:4">
      <c r="A44" s="73" t="s">
        <v>108</v>
      </c>
      <c r="B44" s="54" t="s">
        <v>142</v>
      </c>
      <c r="C44" s="52">
        <f>COUNTIF(Tabla2[[#All],[Programa de Interés]],A44)</f>
        <v>0</v>
      </c>
    </row>
    <row r="45" spans="1:4">
      <c r="B45" s="20"/>
      <c r="C45" s="20"/>
      <c r="D45" s="14"/>
    </row>
  </sheetData>
  <mergeCells count="1">
    <mergeCell ref="A1:C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65"/>
  <sheetViews>
    <sheetView showGridLines="0" topLeftCell="A10" workbookViewId="0">
      <selection activeCell="B36" sqref="B36"/>
    </sheetView>
  </sheetViews>
  <sheetFormatPr defaultColWidth="9.140625" defaultRowHeight="15"/>
  <cols>
    <col min="1" max="1" width="6" customWidth="1"/>
    <col min="2" max="2" width="22" customWidth="1"/>
    <col min="3" max="3" width="59.28515625" customWidth="1"/>
    <col min="4" max="4" width="14" customWidth="1"/>
    <col min="5" max="5" width="35.5703125" customWidth="1"/>
  </cols>
  <sheetData>
    <row r="1" spans="1:5">
      <c r="A1" s="86"/>
      <c r="B1" s="92"/>
      <c r="C1" s="92"/>
      <c r="D1" s="92"/>
      <c r="E1" s="92"/>
    </row>
    <row r="2" spans="1:5">
      <c r="A2" s="87" t="s">
        <v>143</v>
      </c>
      <c r="B2" s="92"/>
      <c r="C2" s="92"/>
      <c r="D2" s="92"/>
      <c r="E2" s="92"/>
    </row>
    <row r="3" spans="1:5">
      <c r="A3" s="86"/>
      <c r="B3" s="92"/>
      <c r="C3" s="92"/>
      <c r="D3" s="92"/>
      <c r="E3" s="92"/>
    </row>
    <row r="4" spans="1:5" ht="30" customHeight="1">
      <c r="A4" s="11" t="s">
        <v>144</v>
      </c>
      <c r="B4" s="55" t="s">
        <v>145</v>
      </c>
      <c r="C4" s="55" t="s">
        <v>62</v>
      </c>
      <c r="D4" s="55" t="s">
        <v>146</v>
      </c>
      <c r="E4" s="55" t="s">
        <v>147</v>
      </c>
    </row>
    <row r="5" spans="1:5" ht="26.1" customHeight="1">
      <c r="A5" s="56">
        <v>1</v>
      </c>
      <c r="B5" s="57" t="s">
        <v>148</v>
      </c>
      <c r="C5" s="57"/>
      <c r="D5" s="49">
        <f>COUNTIF(Tabla2[[#All],[Coordinador ]],B5)</f>
        <v>0</v>
      </c>
      <c r="E5" s="58">
        <f>IFERROR(Tabla5[[#This Row],[interesados]]/SUM(Tabla5[interesados]),0)</f>
        <v>0</v>
      </c>
    </row>
    <row r="6" spans="1:5" ht="26.1" customHeight="1">
      <c r="A6" s="56">
        <v>2</v>
      </c>
      <c r="B6" s="57" t="s">
        <v>149</v>
      </c>
      <c r="C6" s="57"/>
      <c r="D6" s="49">
        <f>COUNTIF(Tabla2[[#All],[Coordinador ]],B6)</f>
        <v>0</v>
      </c>
      <c r="E6" s="58">
        <f>IFERROR(Tabla5[[#This Row],[interesados]]/SUM(Tabla5[interesados]),0)</f>
        <v>0</v>
      </c>
    </row>
    <row r="7" spans="1:5">
      <c r="A7" s="56">
        <v>3</v>
      </c>
      <c r="B7" s="59" t="s">
        <v>113</v>
      </c>
      <c r="C7" s="59"/>
      <c r="D7" s="49">
        <f>COUNTIF(Tabla2[[#All],[Coordinador ]],B7)</f>
        <v>0</v>
      </c>
      <c r="E7" s="58">
        <f>IFERROR(Tabla5[[#This Row],[interesados]]/SUM(Tabla5[interesados]),0)</f>
        <v>0</v>
      </c>
    </row>
    <row r="8" spans="1:5">
      <c r="A8" s="56">
        <v>4</v>
      </c>
      <c r="B8" s="60" t="s">
        <v>114</v>
      </c>
      <c r="C8" s="60"/>
      <c r="D8" s="49">
        <f>COUNTIF(Tabla2[[#All],[Coordinador ]],B8)</f>
        <v>0</v>
      </c>
      <c r="E8" s="58">
        <f>IFERROR(Tabla5[[#This Row],[interesados]]/SUM(Tabla5[interesados]),0)</f>
        <v>0</v>
      </c>
    </row>
    <row r="9" spans="1:5">
      <c r="A9" s="56">
        <v>5</v>
      </c>
      <c r="B9" s="60" t="s">
        <v>115</v>
      </c>
      <c r="C9" s="60"/>
      <c r="D9" s="49">
        <f>COUNTIF(Tabla2[[#All],[Coordinador ]],B9)</f>
        <v>0</v>
      </c>
      <c r="E9" s="58">
        <f>IFERROR(Tabla5[[#This Row],[interesados]]/SUM(Tabla5[interesados]),0)</f>
        <v>0</v>
      </c>
    </row>
    <row r="10" spans="1:5">
      <c r="A10" s="56">
        <v>6</v>
      </c>
      <c r="B10" s="60" t="s">
        <v>116</v>
      </c>
      <c r="C10" s="60"/>
      <c r="D10" s="49">
        <f>COUNTIF(Tabla2[[#All],[Coordinador ]],B10)</f>
        <v>0</v>
      </c>
      <c r="E10" s="58">
        <f>IFERROR(Tabla5[[#This Row],[interesados]]/SUM(Tabla5[interesados]),0)</f>
        <v>0</v>
      </c>
    </row>
    <row r="11" spans="1:5">
      <c r="A11" s="56">
        <v>7</v>
      </c>
      <c r="B11" s="60" t="s">
        <v>117</v>
      </c>
      <c r="C11" s="60"/>
      <c r="D11" s="49">
        <f>COUNTIF(Tabla2[[#All],[Coordinador ]],B11)</f>
        <v>1</v>
      </c>
      <c r="E11" s="58">
        <f>IFERROR(Tabla5[[#This Row],[interesados]]/SUM(Tabla5[interesados]),0)</f>
        <v>0.125</v>
      </c>
    </row>
    <row r="12" spans="1:5" ht="25.5">
      <c r="A12" s="56">
        <v>8</v>
      </c>
      <c r="B12" s="60" t="s">
        <v>118</v>
      </c>
      <c r="C12" s="60"/>
      <c r="D12" s="49">
        <f>COUNTIF(Tabla2[[#All],[Coordinador ]],B12)</f>
        <v>0</v>
      </c>
      <c r="E12" s="58">
        <f>IFERROR(Tabla5[[#This Row],[interesados]]/SUM(Tabla5[interesados]),0)</f>
        <v>0</v>
      </c>
    </row>
    <row r="13" spans="1:5">
      <c r="A13" s="56">
        <v>9</v>
      </c>
      <c r="B13" s="60" t="s">
        <v>119</v>
      </c>
      <c r="C13" s="60"/>
      <c r="D13" s="49">
        <f>COUNTIF(Tabla2[[#All],[Coordinador ]],B13)</f>
        <v>1</v>
      </c>
      <c r="E13" s="58">
        <f>IFERROR(Tabla5[[#This Row],[interesados]]/SUM(Tabla5[interesados]),0)</f>
        <v>0.125</v>
      </c>
    </row>
    <row r="14" spans="1:5">
      <c r="A14" s="56">
        <v>10</v>
      </c>
      <c r="B14" s="60" t="s">
        <v>120</v>
      </c>
      <c r="C14" s="60"/>
      <c r="D14" s="49">
        <f>COUNTIF(Tabla2[[#All],[Coordinador ]],B14)</f>
        <v>0</v>
      </c>
      <c r="E14" s="58">
        <f>IFERROR(Tabla5[[#This Row],[interesados]]/SUM(Tabla5[interesados]),0)</f>
        <v>0</v>
      </c>
    </row>
    <row r="15" spans="1:5">
      <c r="A15" s="56">
        <v>11</v>
      </c>
      <c r="B15" s="60" t="s">
        <v>121</v>
      </c>
      <c r="C15" s="60"/>
      <c r="D15" s="49">
        <f>COUNTIF(Tabla2[[#All],[Coordinador ]],B15)</f>
        <v>1</v>
      </c>
      <c r="E15" s="58">
        <f>IFERROR(Tabla5[[#This Row],[interesados]]/SUM(Tabla5[interesados]),0)</f>
        <v>0.125</v>
      </c>
    </row>
    <row r="16" spans="1:5">
      <c r="A16" s="56">
        <v>12</v>
      </c>
      <c r="B16" s="60" t="s">
        <v>122</v>
      </c>
      <c r="C16" s="60"/>
      <c r="D16" s="49">
        <f>COUNTIF(Tabla2[[#All],[Coordinador ]],B16)</f>
        <v>0</v>
      </c>
      <c r="E16" s="58">
        <f>IFERROR(Tabla5[[#This Row],[interesados]]/SUM(Tabla5[interesados]),0)</f>
        <v>0</v>
      </c>
    </row>
    <row r="17" spans="1:5">
      <c r="A17" s="56">
        <v>13</v>
      </c>
      <c r="B17" s="60" t="s">
        <v>123</v>
      </c>
      <c r="C17" s="60"/>
      <c r="D17" s="49">
        <f>COUNTIF(Tabla2[[#All],[Coordinador ]],B17)</f>
        <v>0</v>
      </c>
      <c r="E17" s="58">
        <f>IFERROR(Tabla5[[#This Row],[interesados]]/SUM(Tabla5[interesados]),0)</f>
        <v>0</v>
      </c>
    </row>
    <row r="18" spans="1:5">
      <c r="A18" s="56">
        <v>14</v>
      </c>
      <c r="B18" s="60" t="s">
        <v>150</v>
      </c>
      <c r="C18" s="60"/>
      <c r="D18" s="49">
        <f>COUNTIF(Tabla2[[#All],[Coordinador ]],B18)</f>
        <v>0</v>
      </c>
      <c r="E18" s="58">
        <f>IFERROR(Tabla5[[#This Row],[interesados]]/SUM(Tabla5[interesados]),0)</f>
        <v>0</v>
      </c>
    </row>
    <row r="19" spans="1:5">
      <c r="A19" s="56">
        <v>15</v>
      </c>
      <c r="B19" s="60" t="s">
        <v>151</v>
      </c>
      <c r="C19" s="60"/>
      <c r="D19" s="49">
        <f>COUNTIF(Tabla2[[#All],[Coordinador ]],B19)</f>
        <v>0</v>
      </c>
      <c r="E19" s="58">
        <f>IFERROR(Tabla5[[#This Row],[interesados]]/SUM(Tabla5[interesados]),0)</f>
        <v>0</v>
      </c>
    </row>
    <row r="20" spans="1:5">
      <c r="A20" s="56">
        <v>16</v>
      </c>
      <c r="B20" s="60" t="s">
        <v>152</v>
      </c>
      <c r="C20" s="60"/>
      <c r="D20" s="49">
        <f>COUNTIF(Tabla2[[#All],[Coordinador ]],B20)</f>
        <v>0</v>
      </c>
      <c r="E20" s="58">
        <f>IFERROR(Tabla5[[#This Row],[interesados]]/SUM(Tabla5[interesados]),0)</f>
        <v>0</v>
      </c>
    </row>
    <row r="21" spans="1:5">
      <c r="A21" s="56">
        <v>17</v>
      </c>
      <c r="B21" s="60" t="s">
        <v>153</v>
      </c>
      <c r="C21" s="60"/>
      <c r="D21" s="49">
        <f>COUNTIF(Tabla2[[#All],[Coordinador ]],B21)</f>
        <v>0</v>
      </c>
      <c r="E21" s="58">
        <f>IFERROR(Tabla5[[#This Row],[interesados]]/SUM(Tabla5[interesados]),0)</f>
        <v>0</v>
      </c>
    </row>
    <row r="22" spans="1:5">
      <c r="A22" s="56">
        <v>18</v>
      </c>
      <c r="B22" s="60" t="s">
        <v>128</v>
      </c>
      <c r="C22" s="60"/>
      <c r="D22" s="49">
        <f>COUNTIF(Tabla2[[#All],[Coordinador ]],B22)</f>
        <v>0</v>
      </c>
      <c r="E22" s="58">
        <f>IFERROR(Tabla5[[#This Row],[interesados]]/SUM(Tabla5[interesados]),0)</f>
        <v>0</v>
      </c>
    </row>
    <row r="23" spans="1:5">
      <c r="A23" s="56">
        <v>19</v>
      </c>
      <c r="B23" s="60" t="s">
        <v>154</v>
      </c>
      <c r="C23" s="60"/>
      <c r="D23" s="49">
        <f>COUNTIF(Tabla2[[#All],[Coordinador ]],B23)</f>
        <v>0</v>
      </c>
      <c r="E23" s="58">
        <f>IFERROR(Tabla5[[#This Row],[interesados]]/SUM(Tabla5[interesados]),0)</f>
        <v>0</v>
      </c>
    </row>
    <row r="24" spans="1:5">
      <c r="A24" s="56">
        <v>20</v>
      </c>
      <c r="B24" s="60" t="s">
        <v>130</v>
      </c>
      <c r="C24" s="60"/>
      <c r="D24" s="49">
        <f>COUNTIF(Tabla2[[#All],[Coordinador ]],B24)</f>
        <v>0</v>
      </c>
      <c r="E24" s="58">
        <f>IFERROR(Tabla5[[#This Row],[interesados]]/SUM(Tabla5[interesados]),0)</f>
        <v>0</v>
      </c>
    </row>
    <row r="25" spans="1:5">
      <c r="A25" s="56">
        <v>21</v>
      </c>
      <c r="B25" s="60" t="s">
        <v>131</v>
      </c>
      <c r="C25" s="60"/>
      <c r="D25" s="49">
        <f>COUNTIF(Tabla2[[#All],[Coordinador ]],B25)</f>
        <v>1</v>
      </c>
      <c r="E25" s="58">
        <f>IFERROR(Tabla5[[#This Row],[interesados]]/SUM(Tabla5[interesados]),0)</f>
        <v>0.125</v>
      </c>
    </row>
    <row r="26" spans="1:5">
      <c r="A26" s="56">
        <v>22</v>
      </c>
      <c r="B26" s="60" t="s">
        <v>132</v>
      </c>
      <c r="C26" s="60"/>
      <c r="D26" s="49">
        <f>COUNTIF(Tabla2[[#All],[Coordinador ]],B26)</f>
        <v>1</v>
      </c>
      <c r="E26" s="58">
        <f>IFERROR(Tabla5[[#This Row],[interesados]]/SUM(Tabla5[interesados]),0)</f>
        <v>0.125</v>
      </c>
    </row>
    <row r="27" spans="1:5">
      <c r="A27" s="56">
        <v>23</v>
      </c>
      <c r="B27" s="60" t="s">
        <v>133</v>
      </c>
      <c r="C27" s="60"/>
      <c r="D27" s="49">
        <f>COUNTIF(Tabla2[[#All],[Coordinador ]],B27)</f>
        <v>0</v>
      </c>
      <c r="E27" s="58">
        <f>IFERROR(Tabla5[[#This Row],[interesados]]/SUM(Tabla5[interesados]),0)</f>
        <v>0</v>
      </c>
    </row>
    <row r="28" spans="1:5">
      <c r="A28" s="56">
        <v>24</v>
      </c>
      <c r="B28" s="60" t="s">
        <v>134</v>
      </c>
      <c r="C28" s="60"/>
      <c r="D28" s="49">
        <f>COUNTIF(Tabla2[[#All],[Coordinador ]],B28)</f>
        <v>2</v>
      </c>
      <c r="E28" s="58">
        <f>IFERROR(Tabla5[[#This Row],[interesados]]/SUM(Tabla5[interesados]),0)</f>
        <v>0.25</v>
      </c>
    </row>
    <row r="29" spans="1:5">
      <c r="A29" s="56">
        <v>25</v>
      </c>
      <c r="B29" s="60" t="s">
        <v>155</v>
      </c>
      <c r="C29" s="60"/>
      <c r="D29" s="49">
        <f>COUNTIF(Tabla2[[#All],[Coordinador ]],B29)</f>
        <v>0</v>
      </c>
      <c r="E29" s="58">
        <f>IFERROR(Tabla5[[#This Row],[interesados]]/SUM(Tabla5[interesados]),0)</f>
        <v>0</v>
      </c>
    </row>
    <row r="30" spans="1:5">
      <c r="A30" s="56">
        <v>26</v>
      </c>
      <c r="B30" s="60" t="s">
        <v>156</v>
      </c>
      <c r="C30" s="60"/>
      <c r="D30" s="49">
        <f>COUNTIF(Tabla2[[#All],[Coordinador ]],B30)</f>
        <v>0</v>
      </c>
      <c r="E30" s="58">
        <f>IFERROR(Tabla5[[#This Row],[interesados]]/SUM(Tabla5[interesados]),0)</f>
        <v>0</v>
      </c>
    </row>
    <row r="31" spans="1:5">
      <c r="A31" s="56">
        <v>27</v>
      </c>
      <c r="B31" s="60" t="s">
        <v>138</v>
      </c>
      <c r="C31" s="60"/>
      <c r="D31" s="49">
        <f>COUNTIF(Tabla2[[#All],[Coordinador ]],B31)</f>
        <v>1</v>
      </c>
      <c r="E31" s="58">
        <f>IFERROR(Tabla5[[#This Row],[interesados]]/SUM(Tabla5[interesados]),0)</f>
        <v>0.125</v>
      </c>
    </row>
    <row r="32" spans="1:5">
      <c r="A32" s="56">
        <v>28</v>
      </c>
      <c r="B32" s="60" t="s">
        <v>139</v>
      </c>
      <c r="C32" s="60"/>
      <c r="D32" s="49">
        <f>COUNTIF(Tabla2[[#All],[Coordinador ]],B32)</f>
        <v>0</v>
      </c>
      <c r="E32" s="58">
        <f>IFERROR(Tabla5[[#This Row],[interesados]]/SUM(Tabla5[interesados]),0)</f>
        <v>0</v>
      </c>
    </row>
    <row r="33" spans="1:5" ht="25.5">
      <c r="A33" s="56">
        <v>29</v>
      </c>
      <c r="B33" s="60" t="s">
        <v>140</v>
      </c>
      <c r="C33" s="60"/>
      <c r="D33" s="49">
        <f>COUNTIF(Tabla2[[#All],[Coordinador ]],B33)</f>
        <v>0</v>
      </c>
      <c r="E33" s="58">
        <f>IFERROR(Tabla5[[#This Row],[interesados]]/SUM(Tabla5[interesados]),0)</f>
        <v>0</v>
      </c>
    </row>
    <row r="34" spans="1:5">
      <c r="A34" s="56">
        <v>30</v>
      </c>
      <c r="B34" s="60" t="s">
        <v>141</v>
      </c>
      <c r="C34" s="60"/>
      <c r="D34" s="49">
        <f>COUNTIF(Tabla2[[#All],[Coordinador ]],B34)</f>
        <v>0</v>
      </c>
      <c r="E34" s="58">
        <f>IFERROR(Tabla5[[#This Row],[interesados]]/SUM(Tabla5[interesados]),0)</f>
        <v>0</v>
      </c>
    </row>
    <row r="35" spans="1:5">
      <c r="A35" s="56">
        <v>31</v>
      </c>
      <c r="B35" s="60" t="s">
        <v>142</v>
      </c>
      <c r="C35" s="60"/>
      <c r="D35" s="49">
        <f>COUNTIF(Tabla2[[#All],[Coordinador ]],B35)</f>
        <v>0</v>
      </c>
      <c r="E35" s="58">
        <f>IFERROR(Tabla5[[#This Row],[interesados]]/SUM(Tabla5[interesados]),0)</f>
        <v>0</v>
      </c>
    </row>
    <row r="36" spans="1:5">
      <c r="A36" s="56">
        <v>32</v>
      </c>
      <c r="B36" s="61" t="s">
        <v>157</v>
      </c>
      <c r="C36" s="62"/>
      <c r="D36" s="49">
        <f>COUNTIF(Tabla2[[#All],[Coordinador ]],B36)</f>
        <v>0</v>
      </c>
      <c r="E36" s="58">
        <f>IFERROR(Tabla5[[#This Row],[interesados]]/SUM(Tabla5[interesados]),0)</f>
        <v>0</v>
      </c>
    </row>
    <row r="37" spans="1:5">
      <c r="A37" s="56">
        <v>33</v>
      </c>
      <c r="B37" s="63" t="s">
        <v>158</v>
      </c>
      <c r="C37" s="64"/>
      <c r="D37" s="49">
        <f>COUNTIF(Tabla2[[#All],[Coordinador ]],B37)</f>
        <v>0</v>
      </c>
      <c r="E37" s="58">
        <f>IFERROR(Tabla5[[#This Row],[interesados]]/SUM(Tabla5[interesados]),0)</f>
        <v>0</v>
      </c>
    </row>
    <row r="38" spans="1:5">
      <c r="A38" s="65">
        <v>34</v>
      </c>
      <c r="B38" s="63" t="s">
        <v>159</v>
      </c>
      <c r="C38" s="64"/>
      <c r="D38" s="50">
        <f>COUNTIF(Tabla2[[#All],[Coordinador ]],B38)</f>
        <v>0</v>
      </c>
      <c r="E38" s="58">
        <f>IFERROR(Tabla5[[#This Row],[interesados]]/SUM(Tabla5[interesados]),0)</f>
        <v>0</v>
      </c>
    </row>
    <row r="65" spans="1:5">
      <c r="A65" s="90" t="s">
        <v>160</v>
      </c>
      <c r="B65" s="92"/>
      <c r="C65" s="92"/>
      <c r="D65" s="92"/>
      <c r="E65" s="92"/>
    </row>
  </sheetData>
  <mergeCells count="4">
    <mergeCell ref="A65:E65"/>
    <mergeCell ref="A3:E3"/>
    <mergeCell ref="A2:E2"/>
    <mergeCell ref="A1:E1"/>
  </mergeCells>
  <phoneticPr fontId="14" type="noConversion"/>
  <conditionalFormatting sqref="B7:C38">
    <cfRule type="duplicateValues" dxfId="13" priority="1"/>
    <cfRule type="duplicateValues" dxfId="12" priority="2"/>
  </conditionalFormatting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B0B09-5E3C-4184-A265-70A550C7B643}">
  <sheetPr codeName="Hoja7"/>
  <dimension ref="A1:D24"/>
  <sheetViews>
    <sheetView zoomScaleNormal="100" workbookViewId="0">
      <selection activeCell="E20" sqref="E20"/>
    </sheetView>
  </sheetViews>
  <sheetFormatPr defaultColWidth="11.42578125" defaultRowHeight="15"/>
  <cols>
    <col min="1" max="1" width="34.28515625" bestFit="1" customWidth="1"/>
    <col min="2" max="2" width="19.7109375" bestFit="1" customWidth="1"/>
    <col min="3" max="3" width="23.140625" customWidth="1"/>
  </cols>
  <sheetData>
    <row r="1" spans="1:4">
      <c r="A1" s="21" t="s">
        <v>161</v>
      </c>
      <c r="C1" t="s">
        <v>162</v>
      </c>
      <c r="D1" t="s">
        <v>163</v>
      </c>
    </row>
    <row r="2" spans="1:4">
      <c r="A2" t="s">
        <v>164</v>
      </c>
      <c r="C2" s="22" t="s">
        <v>165</v>
      </c>
      <c r="D2" s="22"/>
    </row>
    <row r="3" spans="1:4">
      <c r="A3" t="s">
        <v>19</v>
      </c>
      <c r="C3" s="22" t="s">
        <v>166</v>
      </c>
      <c r="D3" s="22"/>
    </row>
    <row r="4" spans="1:4">
      <c r="A4" s="22" t="s">
        <v>167</v>
      </c>
      <c r="C4" s="22" t="s">
        <v>168</v>
      </c>
      <c r="D4" s="22"/>
    </row>
    <row r="5" spans="1:4">
      <c r="A5" t="s">
        <v>169</v>
      </c>
      <c r="C5" s="22" t="s">
        <v>170</v>
      </c>
      <c r="D5" s="22"/>
    </row>
    <row r="6" spans="1:4">
      <c r="A6" t="s">
        <v>171</v>
      </c>
      <c r="C6" s="22" t="s">
        <v>171</v>
      </c>
      <c r="D6" s="22"/>
    </row>
    <row r="7" spans="1:4">
      <c r="A7" t="s">
        <v>172</v>
      </c>
      <c r="C7" s="22" t="s">
        <v>173</v>
      </c>
      <c r="D7" s="22"/>
    </row>
    <row r="8" spans="1:4">
      <c r="A8" t="s">
        <v>174</v>
      </c>
      <c r="C8" s="22" t="s">
        <v>175</v>
      </c>
      <c r="D8" s="22"/>
    </row>
    <row r="15" spans="1:4">
      <c r="A15" s="47" t="s">
        <v>176</v>
      </c>
      <c r="B15" t="s">
        <v>177</v>
      </c>
    </row>
    <row r="16" spans="1:4">
      <c r="A16" s="48" t="s">
        <v>164</v>
      </c>
      <c r="B16">
        <v>1</v>
      </c>
    </row>
    <row r="17" spans="1:2">
      <c r="A17" s="48" t="s">
        <v>167</v>
      </c>
      <c r="B17">
        <v>7</v>
      </c>
    </row>
    <row r="18" spans="1:2">
      <c r="A18" s="48" t="s">
        <v>169</v>
      </c>
      <c r="B18">
        <v>6</v>
      </c>
    </row>
    <row r="19" spans="1:2">
      <c r="A19" s="48" t="s">
        <v>19</v>
      </c>
      <c r="B19">
        <v>9</v>
      </c>
    </row>
    <row r="20" spans="1:2">
      <c r="A20" s="48" t="s">
        <v>178</v>
      </c>
    </row>
    <row r="21" spans="1:2">
      <c r="A21" s="48" t="s">
        <v>171</v>
      </c>
      <c r="B21">
        <v>4</v>
      </c>
    </row>
    <row r="22" spans="1:2">
      <c r="A22" s="48" t="s">
        <v>172</v>
      </c>
      <c r="B22">
        <v>2</v>
      </c>
    </row>
    <row r="23" spans="1:2">
      <c r="A23" s="48" t="s">
        <v>174</v>
      </c>
      <c r="B23">
        <v>3</v>
      </c>
    </row>
    <row r="24" spans="1:2">
      <c r="A24" s="48" t="s">
        <v>179</v>
      </c>
      <c r="B24">
        <v>32</v>
      </c>
    </row>
  </sheetData>
  <pageMargins left="0.7" right="0.7" top="0.75" bottom="0.75" header="0.3" footer="0.3"/>
  <pageSetup orientation="portrait"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0B6FF0037468A44BE1B798BA78DC387" ma:contentTypeVersion="18" ma:contentTypeDescription="Crear nuevo documento." ma:contentTypeScope="" ma:versionID="ca3d39b56c50f84e500bdc5fb4ff3255">
  <xsd:schema xmlns:xsd="http://www.w3.org/2001/XMLSchema" xmlns:xs="http://www.w3.org/2001/XMLSchema" xmlns:p="http://schemas.microsoft.com/office/2006/metadata/properties" xmlns:ns2="93648fd9-5f59-4f31-99e3-c2c776da66d7" xmlns:ns3="95802385-4f6a-4dad-ad44-aa33a6d9e4fa" targetNamespace="http://schemas.microsoft.com/office/2006/metadata/properties" ma:root="true" ma:fieldsID="2d3aea9218bf4eff58eb33071197110c" ns2:_="" ns3:_="">
    <xsd:import namespace="93648fd9-5f59-4f31-99e3-c2c776da66d7"/>
    <xsd:import namespace="95802385-4f6a-4dad-ad44-aa33a6d9e4f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Comentarios" minOccurs="0"/>
                <xsd:element ref="ns3:Aprobado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48fd9-5f59-4f31-99e3-c2c776da66d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1f4669-1da7-4d84-af2d-05271af9ed10}" ma:internalName="TaxCatchAll" ma:showField="CatchAllData" ma:web="93648fd9-5f59-4f31-99e3-c2c776da66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802385-4f6a-4dad-ad44-aa33a6d9e4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3c569fb8-e1c1-49a9-b089-e8be4cd6fa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Comentarios" ma:index="23" nillable="true" ma:displayName="Comentarios" ma:description="Aquí se colocará información para conocer el status del expediente." ma:format="Dropdown" ma:internalName="Comentarios">
      <xsd:simpleType>
        <xsd:restriction base="dms:Note">
          <xsd:maxLength value="255"/>
        </xsd:restriction>
      </xsd:simpleType>
    </xsd:element>
    <xsd:element name="Aprobado" ma:index="24" nillable="true" ma:displayName="Aprobado" ma:default="1" ma:description="Aquí se indicará el status final de la propuesta" ma:format="Dropdown" ma:internalName="Aprobado">
      <xsd:simpleType>
        <xsd:restriction base="dms:Boolea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3648fd9-5f59-4f31-99e3-c2c776da66d7" xsi:nil="true"/>
    <Comentarios xmlns="95802385-4f6a-4dad-ad44-aa33a6d9e4fa" xsi:nil="true"/>
    <Aprobado xmlns="95802385-4f6a-4dad-ad44-aa33a6d9e4fa">true</Aprobado>
    <lcf76f155ced4ddcb4097134ff3c332f xmlns="95802385-4f6a-4dad-ad44-aa33a6d9e4f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D6CE1CC-B8E3-4BF5-B20C-038B2EEDD78E}"/>
</file>

<file path=customXml/itemProps2.xml><?xml version="1.0" encoding="utf-8"?>
<ds:datastoreItem xmlns:ds="http://schemas.openxmlformats.org/officeDocument/2006/customXml" ds:itemID="{19C8DA19-BE83-4BBD-A673-071BCAAD21EC}"/>
</file>

<file path=customXml/itemProps3.xml><?xml version="1.0" encoding="utf-8"?>
<ds:datastoreItem xmlns:ds="http://schemas.openxmlformats.org/officeDocument/2006/customXml" ds:itemID="{C4656495-1C25-4E6A-B2DA-185C79CF01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Marieliza Romero Reyes</cp:lastModifiedBy>
  <cp:revision/>
  <dcterms:created xsi:type="dcterms:W3CDTF">2026-05-19T21:06:20Z</dcterms:created>
  <dcterms:modified xsi:type="dcterms:W3CDTF">2026-05-28T19:24:34Z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0x010100D0B6FF0037468A44BE1B798BA78DC387</vt:lpwstr>
  </property>
  <property fmtid="{D5CDD505-2E9C-101B-9397-08002B2CF9AE}" pid="3" name="MediaServiceImageTags">
    <vt:lpwstr/>
  </property>
</Properties>
</file>